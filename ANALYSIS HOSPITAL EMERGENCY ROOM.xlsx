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D:\Salim1\My Excel\"/>
    </mc:Choice>
  </mc:AlternateContent>
  <xr:revisionPtr revIDLastSave="0" documentId="13_ncr:1_{874D4546-A945-493F-8F9D-3605BA6E990A}" xr6:coauthVersionLast="47" xr6:coauthVersionMax="47" xr10:uidLastSave="{00000000-0000-0000-0000-000000000000}"/>
  <bookViews>
    <workbookView xWindow="-108" yWindow="-108" windowWidth="23256" windowHeight="12456" activeTab="1" xr2:uid="{8AFA9659-8C63-4E06-836C-0A41B37F0564}"/>
  </bookViews>
  <sheets>
    <sheet name="PIVOT REPORT" sheetId="1" r:id="rId1"/>
    <sheet name="DASHBOARD" sheetId="2" r:id="rId2"/>
    <sheet name="DAILY ER NO OF PATIENT" sheetId="3" r:id="rId3"/>
    <sheet name="AVERAGE WAIT TIME DAILY TREND" sheetId="5" r:id="rId4"/>
    <sheet name="SATISFACTION TIME DAILY TREND" sheetId="6"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e4fc8cb-ed8f-4b0e-ab82-a4cd8fe35994" name="Hospital Emergency Room Data" connection="Query - Hospital Emergency Room Data"/>
          <x15:modelTable id="Calender_Table_c163b3d5-dd51-46fc-a93d-6b51bd13f795"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2" i="1" l="1"/>
  <c r="B42" i="1"/>
  <c r="C42" i="1"/>
  <c r="B43" i="1"/>
  <c r="C43" i="1"/>
  <c r="A4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874E94-FEDC-4896-927D-0B4DCD233B42}" name="Query - Calender_Table" description="Connection to the 'Calender_Table' query in the workbook." type="100" refreshedVersion="8" minRefreshableVersion="5">
    <extLst>
      <ext xmlns:x15="http://schemas.microsoft.com/office/spreadsheetml/2010/11/main" uri="{DE250136-89BD-433C-8126-D09CA5730AF9}">
        <x15:connection id="5a77097d-e62f-4b92-b2a8-d2314de8e002"/>
      </ext>
    </extLst>
  </connection>
  <connection id="2" xr16:uid="{9DE977B8-B30F-4EF6-9C9E-5677EEE74DB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5f01be9-b52c-46ad-89ac-e5440842845d"/>
      </ext>
    </extLst>
  </connection>
  <connection id="3" xr16:uid="{DB22E145-664C-4241-A0D0-4F9CD6FC87E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<sst xmlns="http://schemas.openxmlformats.org/spreadsheetml/2006/main" count="147" uniqueCount="70">
  <si>
    <t>Distinct Count of Patient Id</t>
  </si>
  <si>
    <t>No. of Patient</t>
  </si>
  <si>
    <t>Average of Patient Waittime</t>
  </si>
  <si>
    <t>Average of Patient Satisfaction Score</t>
  </si>
  <si>
    <t>Grand Total</t>
  </si>
  <si>
    <t>DAILY TREND OF NO OF PATIENT</t>
  </si>
  <si>
    <t>Satisfaction score daily trend</t>
  </si>
  <si>
    <t>Average time daily trend</t>
  </si>
  <si>
    <t>Count of Patient Admission Flag</t>
  </si>
  <si>
    <t>Row Labels</t>
  </si>
  <si>
    <t>Admitted</t>
  </si>
  <si>
    <t>Not Admitted</t>
  </si>
  <si>
    <t>Count of Patient Admission Flag2</t>
  </si>
  <si>
    <t>Admission Status</t>
  </si>
  <si>
    <t>% Status</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</si>
  <si>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</si>
  <si>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</si>
  <si>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</si>
  <si>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</si>
  <si>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</si>
  <si>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</si>
  <si>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</si>
  <si>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</si>
  <si>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</si>
  <si>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</si>
  <si>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</si>
  <si>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</si>
  <si>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</si>
  <si>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</si>
  <si>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</si>
  <si>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</si>
  <si>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</si>
  <si>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</si>
  <si>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</si>
  <si>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</si>
  <si>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</si>
  <si>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</si>
  <si>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</si>
  <si>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</si>
  <si>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</si>
  <si>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</si>
  <si>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</si>
  <si>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</si>
  <si>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</si>
  <si>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</si>
  <si>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Count of Age Group</t>
  </si>
  <si>
    <t>0-9</t>
  </si>
  <si>
    <t>10-19</t>
  </si>
  <si>
    <t>20-29</t>
  </si>
  <si>
    <t>30-39</t>
  </si>
  <si>
    <t>40-49</t>
  </si>
  <si>
    <t>50-59</t>
  </si>
  <si>
    <t>60-69</t>
  </si>
  <si>
    <t>70-79</t>
  </si>
  <si>
    <t>Delay</t>
  </si>
  <si>
    <t>Ontime</t>
  </si>
  <si>
    <t>Count of Patient Attend Status2</t>
  </si>
  <si>
    <t>Count of Patient Gender</t>
  </si>
  <si>
    <t>Female</t>
  </si>
  <si>
    <t>Male</t>
  </si>
  <si>
    <t>Cardiology</t>
  </si>
  <si>
    <t>Gastroenterology</t>
  </si>
  <si>
    <t>General Practice</t>
  </si>
  <si>
    <t>Neurology</t>
  </si>
  <si>
    <t>None</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</si>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</sst>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8" tint="0.39997558519241921"/>
        <bgColor indexed="64"/>
      </patternFill>
    </fill>
    <fill>
      <patternFill patternType="solid">
        <fgColor theme="4" tint="0.59999389629810485"/>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10" fontId="0" fillId="0" borderId="0" xfId="0" applyNumberFormat="1"/>
    <xf numFmtId="0" fontId="0" fillId="4" borderId="0" xfId="0" applyFill="1"/>
    <xf numFmtId="9" fontId="0" fillId="4" borderId="0" xfId="1" applyFont="1" applyFill="1"/>
    <xf numFmtId="0" fontId="0" fillId="3" borderId="0" xfId="0" applyFill="1" applyAlignment="1">
      <alignment horizontal="left"/>
    </xf>
    <xf numFmtId="1" fontId="0" fillId="0" borderId="0" xfId="0" applyNumberFormat="1"/>
    <xf numFmtId="9" fontId="0" fillId="0" borderId="0" xfId="0" applyNumberFormat="1"/>
    <xf numFmtId="0" fontId="0" fillId="0" borderId="0" xfId="0" applyAlignment="1">
      <alignment horizontal="center"/>
    </xf>
  </cellXfs>
  <cellStyles count="2">
    <cellStyle name="Normal" xfId="0" builtinId="0"/>
    <cellStyle name="Percent" xfId="1" builtinId="5"/>
  </cellStyles>
  <dxfs count="1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numFmt numFmtId="14" formatCode="0.00%"/>
    </dxf>
    <dxf>
      <numFmt numFmtId="1" formatCode="0"/>
    </dxf>
    <dxf>
      <numFmt numFmtId="14" formatCode="0.00%"/>
    </dxf>
    <dxf>
      <numFmt numFmtId="2" formatCode="0.00"/>
    </dxf>
    <dxf>
      <numFmt numFmtId="2" formatCode="0.00"/>
    </dxf>
    <dxf>
      <numFmt numFmtId="2" formatCode="0.00"/>
    </dxf>
    <dxf>
      <font>
        <b/>
        <color theme="1"/>
      </font>
      <border>
        <bottom style="thin">
          <color theme="4"/>
        </bottom>
        <vertical/>
        <horizontal/>
      </border>
    </dxf>
    <dxf>
      <font>
        <sz val="8"/>
        <color theme="1"/>
      </font>
      <fill>
        <patternFill patternType="none">
          <bgColor auto="1"/>
        </patternFill>
      </fill>
      <border diagonalUp="0" diagonalDown="0">
        <left/>
        <right/>
        <top/>
        <bottom/>
        <vertical/>
        <horizontal/>
      </border>
    </dxf>
  </dxfs>
  <tableStyles count="1" defaultTableStyle="TableStyleMedium2" defaultPivotStyle="PivotStyleLight16">
    <tableStyle name="MY STYLE" pivot="0" table="0" count="10" xr9:uid="{16F3F92F-0D28-44C3-B717-E64DE53E3143}">
      <tableStyleElement type="wholeTable" dxfId="15"/>
      <tableStyleElement type="headerRow" dxfId="1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49F8210-067D-483E-B227-044B2ED10EF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0.11002082620107269"/>
          <c:y val="0.168869847151459"/>
          <c:w val="0.86632243613527371"/>
          <c:h val="0.75132217847769023"/>
        </c:manualLayout>
      </c:layout>
      <c:barChart>
        <c:barDir val="bar"/>
        <c:grouping val="clustered"/>
        <c:varyColors val="0"/>
        <c:ser>
          <c:idx val="0"/>
          <c:order val="0"/>
          <c:tx>
            <c:strRef>
              <c:f>'PIVOT REPORT'!$B$36</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4429-4DA2-B81D-FCF21EA36373}"/>
              </c:ext>
            </c:extLst>
          </c:dPt>
          <c:dPt>
            <c:idx val="1"/>
            <c:invertIfNegative val="0"/>
            <c:bubble3D val="0"/>
            <c:extLst>
              <c:ext xmlns:c16="http://schemas.microsoft.com/office/drawing/2014/chart" uri="{C3380CC4-5D6E-409C-BE32-E72D297353CC}">
                <c16:uniqueId val="{00000001-4429-4DA2-B81D-FCF21EA36373}"/>
              </c:ext>
            </c:extLst>
          </c:dPt>
          <c:dLbls>
            <c:dLbl>
              <c:idx val="1"/>
              <c:tx>
                <c:rich>
                  <a:bodyPr/>
                  <a:lstStyle/>
                  <a:p>
                    <a:fld id="{C49F8210-067D-483E-B227-044B2ED10EF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429-4DA2-B81D-FCF21EA36373}"/>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REPORT'!$A$37:$A$39</c:f>
              <c:strCache>
                <c:ptCount val="2"/>
                <c:pt idx="0">
                  <c:v>Admitted</c:v>
                </c:pt>
                <c:pt idx="1">
                  <c:v>Not Admitted</c:v>
                </c:pt>
              </c:strCache>
            </c:strRef>
          </c:cat>
          <c:val>
            <c:numRef>
              <c:f>'PIVOT REPORT'!$B$37:$B$39</c:f>
              <c:numCache>
                <c:formatCode>0.00</c:formatCode>
                <c:ptCount val="2"/>
                <c:pt idx="0">
                  <c:v>235</c:v>
                </c:pt>
                <c:pt idx="1">
                  <c:v>250</c:v>
                </c:pt>
              </c:numCache>
            </c:numRef>
          </c:val>
          <c:extLst>
            <c:ext xmlns:c16="http://schemas.microsoft.com/office/drawing/2014/chart" uri="{C3380CC4-5D6E-409C-BE32-E72D297353CC}">
              <c16:uniqueId val="{00000003-D3BC-44E8-9751-8060DD9EA153}"/>
            </c:ext>
          </c:extLst>
        </c:ser>
        <c:ser>
          <c:idx val="1"/>
          <c:order val="1"/>
          <c:tx>
            <c:strRef>
              <c:f>'PIVOT REPORT'!$C$36</c:f>
              <c:strCache>
                <c:ptCount val="1"/>
                <c:pt idx="0">
                  <c:v>Count of Patient Admission Flag2</c:v>
                </c:pt>
              </c:strCache>
            </c:strRef>
          </c:tx>
          <c:spPr>
            <a:solidFill>
              <a:schemeClr val="accent2"/>
            </a:solidFill>
            <a:ln>
              <a:noFill/>
            </a:ln>
            <a:effectLst/>
          </c:spPr>
          <c:invertIfNegative val="0"/>
          <c:cat>
            <c:strRef>
              <c:f>'PIVOT REPORT'!$A$37:$A$39</c:f>
              <c:strCache>
                <c:ptCount val="2"/>
                <c:pt idx="0">
                  <c:v>Admitted</c:v>
                </c:pt>
                <c:pt idx="1">
                  <c:v>Not Admitted</c:v>
                </c:pt>
              </c:strCache>
            </c:strRef>
          </c:cat>
          <c:val>
            <c:numRef>
              <c:f>'PIVOT REPORT'!$C$37:$C$39</c:f>
              <c:numCache>
                <c:formatCode>0.00%</c:formatCode>
                <c:ptCount val="2"/>
                <c:pt idx="0">
                  <c:v>0.4845360824742268</c:v>
                </c:pt>
                <c:pt idx="1">
                  <c:v>0.51546391752577314</c:v>
                </c:pt>
              </c:numCache>
            </c:numRef>
          </c:val>
          <c:extLst>
            <c:ext xmlns:c16="http://schemas.microsoft.com/office/drawing/2014/chart" uri="{C3380CC4-5D6E-409C-BE32-E72D297353CC}">
              <c16:uniqueId val="{00000004-D3BC-44E8-9751-8060DD9EA153}"/>
            </c:ext>
          </c:extLst>
        </c:ser>
        <c:dLbls>
          <c:showLegendKey val="0"/>
          <c:showVal val="0"/>
          <c:showCatName val="0"/>
          <c:showSerName val="0"/>
          <c:showPercent val="0"/>
          <c:showBubbleSize val="0"/>
        </c:dLbls>
        <c:gapWidth val="92"/>
        <c:overlap val="89"/>
        <c:axId val="231467872"/>
        <c:axId val="231469792"/>
      </c:barChart>
      <c:catAx>
        <c:axId val="231467872"/>
        <c:scaling>
          <c:orientation val="minMax"/>
        </c:scaling>
        <c:delete val="1"/>
        <c:axPos val="l"/>
        <c:numFmt formatCode="General" sourceLinked="1"/>
        <c:majorTickMark val="none"/>
        <c:minorTickMark val="none"/>
        <c:tickLblPos val="nextTo"/>
        <c:crossAx val="231469792"/>
        <c:crosses val="autoZero"/>
        <c:auto val="1"/>
        <c:lblAlgn val="ctr"/>
        <c:lblOffset val="100"/>
        <c:noMultiLvlLbl val="0"/>
      </c:catAx>
      <c:valAx>
        <c:axId val="231469792"/>
        <c:scaling>
          <c:orientation val="minMax"/>
        </c:scaling>
        <c:delete val="1"/>
        <c:axPos val="b"/>
        <c:numFmt formatCode="0.00" sourceLinked="1"/>
        <c:majorTickMark val="none"/>
        <c:minorTickMark val="none"/>
        <c:tickLblPos val="nextTo"/>
        <c:crossAx val="23146787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620596205962058E-2"/>
          <c:y val="5.5846245025823388E-2"/>
          <c:w val="0.90303037120359952"/>
          <c:h val="0.88810567753916791"/>
        </c:manualLayout>
      </c:layout>
      <c:areaChart>
        <c:grouping val="standard"/>
        <c:varyColors val="0"/>
        <c:ser>
          <c:idx val="0"/>
          <c:order val="0"/>
          <c:tx>
            <c:strRef>
              <c:f>'PIVOT REPORT'!$D$2</c:f>
              <c:strCache>
                <c:ptCount val="1"/>
                <c:pt idx="0">
                  <c:v>Total</c:v>
                </c:pt>
              </c:strCache>
            </c:strRef>
          </c:tx>
          <c:spPr>
            <a:solidFill>
              <a:schemeClr val="accent1"/>
            </a:solidFill>
            <a:ln w="25400">
              <a:noFill/>
            </a:ln>
            <a:effectLst/>
          </c:spPr>
          <c:cat>
            <c:strRef>
              <c:f>'PIVOT REPORT'!$C$3:$C$33</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REPORT'!$D$3:$D$33</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2-98AA-4584-B67B-AFB26CA407F1}"/>
            </c:ext>
          </c:extLst>
        </c:ser>
        <c:dLbls>
          <c:showLegendKey val="0"/>
          <c:showVal val="0"/>
          <c:showCatName val="0"/>
          <c:showSerName val="0"/>
          <c:showPercent val="0"/>
          <c:showBubbleSize val="0"/>
        </c:dLbls>
        <c:axId val="1394622944"/>
        <c:axId val="1394624384"/>
      </c:areaChart>
      <c:catAx>
        <c:axId val="1394622944"/>
        <c:scaling>
          <c:orientation val="minMax"/>
        </c:scaling>
        <c:delete val="1"/>
        <c:axPos val="b"/>
        <c:numFmt formatCode="General" sourceLinked="1"/>
        <c:majorTickMark val="out"/>
        <c:minorTickMark val="none"/>
        <c:tickLblPos val="nextTo"/>
        <c:crossAx val="1394624384"/>
        <c:crosses val="autoZero"/>
        <c:auto val="1"/>
        <c:lblAlgn val="ctr"/>
        <c:lblOffset val="100"/>
        <c:noMultiLvlLbl val="0"/>
      </c:catAx>
      <c:valAx>
        <c:axId val="1394624384"/>
        <c:scaling>
          <c:orientation val="minMax"/>
        </c:scaling>
        <c:delete val="1"/>
        <c:axPos val="l"/>
        <c:numFmt formatCode="General" sourceLinked="1"/>
        <c:majorTickMark val="none"/>
        <c:minorTickMark val="none"/>
        <c:tickLblPos val="nextTo"/>
        <c:crossAx val="139462294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REPORT!PivotTable7</c:name>
    <c:fmtId val="19"/>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112794637357451E-2"/>
          <c:y val="0.11851851851851852"/>
          <c:w val="0.95166161608792765"/>
          <c:h val="0.83703703703703702"/>
        </c:manualLayout>
      </c:layout>
      <c:areaChart>
        <c:grouping val="standard"/>
        <c:varyColors val="0"/>
        <c:ser>
          <c:idx val="0"/>
          <c:order val="0"/>
          <c:tx>
            <c:strRef>
              <c:f>'PIVOT REPORT'!$G$2</c:f>
              <c:strCache>
                <c:ptCount val="1"/>
                <c:pt idx="0">
                  <c:v>Total</c:v>
                </c:pt>
              </c:strCache>
            </c:strRef>
          </c:tx>
          <c:spPr>
            <a:solidFill>
              <a:schemeClr val="accent1"/>
            </a:solidFill>
            <a:ln w="25400">
              <a:noFill/>
            </a:ln>
            <a:effectLst/>
          </c:spPr>
          <c:cat>
            <c:strRef>
              <c:f>'PIVOT REPORT'!$F$3:$F$33</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REPORT'!$G$3:$G$33</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2-114B-49BB-B3C7-18FB16BB9A6D}"/>
            </c:ext>
          </c:extLst>
        </c:ser>
        <c:dLbls>
          <c:showLegendKey val="0"/>
          <c:showVal val="0"/>
          <c:showCatName val="0"/>
          <c:showSerName val="0"/>
          <c:showPercent val="0"/>
          <c:showBubbleSize val="0"/>
        </c:dLbls>
        <c:axId val="69575248"/>
        <c:axId val="69577168"/>
      </c:areaChart>
      <c:catAx>
        <c:axId val="69575248"/>
        <c:scaling>
          <c:orientation val="minMax"/>
        </c:scaling>
        <c:delete val="1"/>
        <c:axPos val="b"/>
        <c:numFmt formatCode="General" sourceLinked="1"/>
        <c:majorTickMark val="out"/>
        <c:minorTickMark val="none"/>
        <c:tickLblPos val="nextTo"/>
        <c:crossAx val="69577168"/>
        <c:crosses val="autoZero"/>
        <c:auto val="1"/>
        <c:lblAlgn val="ctr"/>
        <c:lblOffset val="100"/>
        <c:noMultiLvlLbl val="0"/>
      </c:catAx>
      <c:valAx>
        <c:axId val="69577168"/>
        <c:scaling>
          <c:orientation val="minMax"/>
        </c:scaling>
        <c:delete val="1"/>
        <c:axPos val="l"/>
        <c:numFmt formatCode="0.00" sourceLinked="1"/>
        <c:majorTickMark val="none"/>
        <c:minorTickMark val="none"/>
        <c:tickLblPos val="nextTo"/>
        <c:crossAx val="6957524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REPORT!PivotTable8</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632058241850387E-2"/>
          <c:y val="0.2285717713862338"/>
          <c:w val="0.93939389807676177"/>
          <c:h val="0.71428528576720773"/>
        </c:manualLayout>
      </c:layout>
      <c:areaChart>
        <c:grouping val="standard"/>
        <c:varyColors val="0"/>
        <c:ser>
          <c:idx val="0"/>
          <c:order val="0"/>
          <c:tx>
            <c:strRef>
              <c:f>'PIVOT REPORT'!$J$2</c:f>
              <c:strCache>
                <c:ptCount val="1"/>
                <c:pt idx="0">
                  <c:v>Total</c:v>
                </c:pt>
              </c:strCache>
            </c:strRef>
          </c:tx>
          <c:spPr>
            <a:solidFill>
              <a:schemeClr val="accent1"/>
            </a:solidFill>
            <a:ln w="25400">
              <a:noFill/>
            </a:ln>
            <a:effectLst/>
          </c:spPr>
          <c:cat>
            <c:strRef>
              <c:f>'PIVOT REPORT'!$I$3:$I$33</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REPORT'!$J$3:$J$33</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2-6C88-434E-B7ED-E30B5BEFBF40}"/>
            </c:ext>
          </c:extLst>
        </c:ser>
        <c:dLbls>
          <c:showLegendKey val="0"/>
          <c:showVal val="0"/>
          <c:showCatName val="0"/>
          <c:showSerName val="0"/>
          <c:showPercent val="0"/>
          <c:showBubbleSize val="0"/>
        </c:dLbls>
        <c:axId val="67090736"/>
        <c:axId val="67089296"/>
      </c:areaChart>
      <c:catAx>
        <c:axId val="67090736"/>
        <c:scaling>
          <c:orientation val="minMax"/>
        </c:scaling>
        <c:delete val="1"/>
        <c:axPos val="b"/>
        <c:numFmt formatCode="General" sourceLinked="1"/>
        <c:majorTickMark val="out"/>
        <c:minorTickMark val="none"/>
        <c:tickLblPos val="nextTo"/>
        <c:crossAx val="67089296"/>
        <c:crosses val="autoZero"/>
        <c:auto val="1"/>
        <c:lblAlgn val="ctr"/>
        <c:lblOffset val="100"/>
        <c:noMultiLvlLbl val="0"/>
      </c:catAx>
      <c:valAx>
        <c:axId val="67089296"/>
        <c:scaling>
          <c:orientation val="minMax"/>
        </c:scaling>
        <c:delete val="1"/>
        <c:axPos val="l"/>
        <c:numFmt formatCode="0.00" sourceLinked="1"/>
        <c:majorTickMark val="none"/>
        <c:minorTickMark val="none"/>
        <c:tickLblPos val="nextTo"/>
        <c:crossAx val="6709073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REPORT'!$A$46:$A$54</c:f>
              <c:strCache>
                <c:ptCount val="8"/>
                <c:pt idx="0">
                  <c:v>0-9</c:v>
                </c:pt>
                <c:pt idx="1">
                  <c:v>10-19</c:v>
                </c:pt>
                <c:pt idx="2">
                  <c:v>20-29</c:v>
                </c:pt>
                <c:pt idx="3">
                  <c:v>30-39</c:v>
                </c:pt>
                <c:pt idx="4">
                  <c:v>40-49</c:v>
                </c:pt>
                <c:pt idx="5">
                  <c:v>50-59</c:v>
                </c:pt>
                <c:pt idx="6">
                  <c:v>60-69</c:v>
                </c:pt>
                <c:pt idx="7">
                  <c:v>70-79</c:v>
                </c:pt>
              </c:strCache>
            </c:strRef>
          </c:cat>
          <c:val>
            <c:numRef>
              <c:f>'PIVOT REPORT'!$B$46:$B$54</c:f>
              <c:numCache>
                <c:formatCode>0</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3-A54F-4DBE-8C87-69A0C58D6B29}"/>
            </c:ext>
          </c:extLst>
        </c:ser>
        <c:dLbls>
          <c:dLblPos val="outEnd"/>
          <c:showLegendKey val="0"/>
          <c:showVal val="1"/>
          <c:showCatName val="0"/>
          <c:showSerName val="0"/>
          <c:showPercent val="0"/>
          <c:showBubbleSize val="0"/>
        </c:dLbls>
        <c:gapWidth val="219"/>
        <c:overlap val="-27"/>
        <c:axId val="603664799"/>
        <c:axId val="603662399"/>
      </c:barChart>
      <c:catAx>
        <c:axId val="60366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603662399"/>
        <c:crosses val="autoZero"/>
        <c:auto val="1"/>
        <c:lblAlgn val="ctr"/>
        <c:lblOffset val="100"/>
        <c:noMultiLvlLbl val="0"/>
      </c:catAx>
      <c:valAx>
        <c:axId val="603662399"/>
        <c:scaling>
          <c:orientation val="minMax"/>
        </c:scaling>
        <c:delete val="1"/>
        <c:axPos val="l"/>
        <c:numFmt formatCode="0" sourceLinked="1"/>
        <c:majorTickMark val="none"/>
        <c:minorTickMark val="none"/>
        <c:tickLblPos val="nextTo"/>
        <c:crossAx val="603664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pPr>
            <a:solidFill>
              <a:schemeClr val="accent1"/>
            </a:solidFill>
            <a:ln w="9525">
              <a:solidFill>
                <a:schemeClr val="lt1"/>
              </a:solidFill>
            </a:ln>
            <a:effectLst/>
          </c:spPr>
        </c:marker>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dLbl>
          <c:idx val="0"/>
          <c:layout>
            <c:manualLayout>
              <c:x val="0.27558364326623014"/>
              <c:y val="0.10658839520059987"/>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60028270063579"/>
                  <c:h val="0.17821428571428569"/>
                </c:manualLayout>
              </c15:layout>
            </c:ext>
          </c:extLst>
        </c:dLbl>
      </c:pivotFmt>
      <c:pivotFmt>
        <c:idx val="9"/>
        <c:spPr>
          <a:solidFill>
            <a:schemeClr val="accent1"/>
          </a:solidFill>
          <a:ln>
            <a:noFill/>
          </a:ln>
          <a:effectLst>
            <a:outerShdw blurRad="317500" algn="ctr" rotWithShape="0">
              <a:prstClr val="black">
                <a:alpha val="25000"/>
              </a:prstClr>
            </a:outerShdw>
          </a:effectLst>
        </c:spPr>
        <c:dLbl>
          <c:idx val="0"/>
          <c:layout>
            <c:manualLayout>
              <c:x val="-0.17490311831512351"/>
              <c:y val="-0.1133989501312337"/>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60028270063579"/>
                  <c:h val="0.21392857142857144"/>
                </c:manualLayout>
              </c15:layout>
            </c:ext>
          </c:extLst>
        </c:dLbl>
      </c:pivotFmt>
    </c:pivotFmts>
    <c:plotArea>
      <c:layout>
        <c:manualLayout>
          <c:layoutTarget val="inner"/>
          <c:xMode val="edge"/>
          <c:yMode val="edge"/>
          <c:x val="0.18676579435005203"/>
          <c:y val="0.1948002099737533"/>
          <c:w val="0.74842341042448246"/>
          <c:h val="0.76345577771381135"/>
        </c:manualLayout>
      </c:layout>
      <c:pieChart>
        <c:varyColors val="1"/>
        <c:ser>
          <c:idx val="0"/>
          <c:order val="0"/>
          <c:tx>
            <c:strRef>
              <c:f>'PIVOT REPORT'!$B$57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81C-4930-9377-8C2234EDD01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81C-4930-9377-8C2234EDD016}"/>
              </c:ext>
            </c:extLst>
          </c:dPt>
          <c:dLbls>
            <c:dLbl>
              <c:idx val="0"/>
              <c:layout>
                <c:manualLayout>
                  <c:x val="-0.17490311831512351"/>
                  <c:y val="-0.1133989501312337"/>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60028270063579"/>
                      <c:h val="0.21392857142857144"/>
                    </c:manualLayout>
                  </c15:layout>
                </c:ext>
                <c:ext xmlns:c16="http://schemas.microsoft.com/office/drawing/2014/chart" uri="{C3380CC4-5D6E-409C-BE32-E72D297353CC}">
                  <c16:uniqueId val="{00000001-581C-4930-9377-8C2234EDD016}"/>
                </c:ext>
              </c:extLst>
            </c:dLbl>
            <c:dLbl>
              <c:idx val="1"/>
              <c:layout>
                <c:manualLayout>
                  <c:x val="0.27558364326623014"/>
                  <c:y val="0.10658839520059987"/>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60028270063579"/>
                      <c:h val="0.17821428571428569"/>
                    </c:manualLayout>
                  </c15:layout>
                </c:ext>
                <c:ext xmlns:c16="http://schemas.microsoft.com/office/drawing/2014/chart" uri="{C3380CC4-5D6E-409C-BE32-E72D297353CC}">
                  <c16:uniqueId val="{00000003-581C-4930-9377-8C2234EDD016}"/>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REPORT'!$A$58:$A$60</c:f>
              <c:strCache>
                <c:ptCount val="2"/>
                <c:pt idx="0">
                  <c:v>Delay</c:v>
                </c:pt>
                <c:pt idx="1">
                  <c:v>Ontime</c:v>
                </c:pt>
              </c:strCache>
            </c:strRef>
          </c:cat>
          <c:val>
            <c:numRef>
              <c:f>'PIVOT REPORT'!$B$58:$B$60</c:f>
              <c:numCache>
                <c:formatCode>0%</c:formatCode>
                <c:ptCount val="2"/>
                <c:pt idx="0">
                  <c:v>0.6123711340206186</c:v>
                </c:pt>
                <c:pt idx="1">
                  <c:v>0.38762886597938145</c:v>
                </c:pt>
              </c:numCache>
            </c:numRef>
          </c:val>
          <c:extLst>
            <c:ext xmlns:c16="http://schemas.microsoft.com/office/drawing/2014/chart" uri="{C3380CC4-5D6E-409C-BE32-E72D297353CC}">
              <c16:uniqueId val="{00000008-0AF1-4FAB-862D-DE9F2878CC7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13041404605477769"/>
          <c:y val="3.9363359580052493E-2"/>
          <c:w val="0.7850658336687083"/>
          <c:h val="0.11007898431300737"/>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REPORT!PivotTable11</c:name>
    <c:fmtId val="4"/>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6998174603174601"/>
          <c:y val="0.17996614583333334"/>
          <c:w val="0.63887222222222217"/>
          <c:h val="0.6987664930555556"/>
        </c:manualLayout>
      </c:layout>
      <c:doughnutChart>
        <c:varyColors val="1"/>
        <c:ser>
          <c:idx val="0"/>
          <c:order val="0"/>
          <c:tx>
            <c:strRef>
              <c:f>'PIVOT REPORT'!$B$63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E53-4CBD-925E-BBE4B46BBA0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E53-4CBD-925E-BBE4B46BBA0E}"/>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REPORT'!$A$64:$A$66</c:f>
              <c:strCache>
                <c:ptCount val="2"/>
                <c:pt idx="0">
                  <c:v>Female</c:v>
                </c:pt>
                <c:pt idx="1">
                  <c:v>Male</c:v>
                </c:pt>
              </c:strCache>
            </c:strRef>
          </c:cat>
          <c:val>
            <c:numRef>
              <c:f>'PIVOT REPORT'!$B$64:$B$66</c:f>
              <c:numCache>
                <c:formatCode>0.00</c:formatCode>
                <c:ptCount val="2"/>
                <c:pt idx="0">
                  <c:v>239</c:v>
                </c:pt>
                <c:pt idx="1">
                  <c:v>246</c:v>
                </c:pt>
              </c:numCache>
            </c:numRef>
          </c:val>
          <c:extLst>
            <c:ext xmlns:c16="http://schemas.microsoft.com/office/drawing/2014/chart" uri="{C3380CC4-5D6E-409C-BE32-E72D297353CC}">
              <c16:uniqueId val="{00000007-1AB9-4BA1-BA1C-E6E677262F36}"/>
            </c:ext>
          </c:extLst>
        </c:ser>
        <c:dLbls>
          <c:showLegendKey val="0"/>
          <c:showVal val="0"/>
          <c:showCatName val="0"/>
          <c:showSerName val="0"/>
          <c:showPercent val="1"/>
          <c:showBubbleSize val="0"/>
          <c:showLeaderLines val="1"/>
        </c:dLbls>
        <c:firstSliceAng val="0"/>
        <c:holeSize val="51"/>
      </c:doughnutChart>
      <c:spPr>
        <a:noFill/>
        <a:ln>
          <a:noFill/>
        </a:ln>
        <a:effectLst/>
      </c:spPr>
    </c:plotArea>
    <c:legend>
      <c:legendPos val="r"/>
      <c:layout>
        <c:manualLayout>
          <c:xMode val="edge"/>
          <c:yMode val="edge"/>
          <c:x val="6.2603174603174605E-2"/>
          <c:y val="2.8708333333333325E-2"/>
          <c:w val="0.78620634920634924"/>
          <c:h val="0.11576041666666667"/>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REPORT!PivotTable12</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815593854963935"/>
          <c:y val="4.9535619816068133E-2"/>
          <c:w val="0.59921002881632801"/>
          <c:h val="0.85964907718780692"/>
        </c:manualLayout>
      </c:layout>
      <c:barChart>
        <c:barDir val="bar"/>
        <c:grouping val="clustered"/>
        <c:varyColors val="0"/>
        <c:ser>
          <c:idx val="0"/>
          <c:order val="0"/>
          <c:tx>
            <c:strRef>
              <c:f>'PIVOT REPORT'!$B$69</c:f>
              <c:strCache>
                <c:ptCount val="1"/>
                <c:pt idx="0">
                  <c:v>Total</c:v>
                </c:pt>
              </c:strCache>
            </c:strRef>
          </c:tx>
          <c:spPr>
            <a:solidFill>
              <a:schemeClr val="accent1"/>
            </a:solidFill>
            <a:ln>
              <a:noFill/>
            </a:ln>
            <a:effectLst/>
          </c:spPr>
          <c:invertIfNegative val="0"/>
          <c:cat>
            <c:strRef>
              <c:f>'PIVOT REPORT'!$A$70:$A$78</c:f>
              <c:strCache>
                <c:ptCount val="8"/>
                <c:pt idx="0">
                  <c:v>Renal</c:v>
                </c:pt>
                <c:pt idx="1">
                  <c:v>Physiotherapy</c:v>
                </c:pt>
                <c:pt idx="2">
                  <c:v>Neurology</c:v>
                </c:pt>
                <c:pt idx="3">
                  <c:v>Gastroenterology</c:v>
                </c:pt>
                <c:pt idx="4">
                  <c:v>Cardiology</c:v>
                </c:pt>
                <c:pt idx="5">
                  <c:v>Orthopedics</c:v>
                </c:pt>
                <c:pt idx="6">
                  <c:v>General Practice</c:v>
                </c:pt>
                <c:pt idx="7">
                  <c:v>None</c:v>
                </c:pt>
              </c:strCache>
            </c:strRef>
          </c:cat>
          <c:val>
            <c:numRef>
              <c:f>'PIVOT REPORT'!$B$70:$B$78</c:f>
              <c:numCache>
                <c:formatCode>0.00</c:formatCode>
                <c:ptCount val="8"/>
                <c:pt idx="0">
                  <c:v>2</c:v>
                </c:pt>
                <c:pt idx="1">
                  <c:v>11</c:v>
                </c:pt>
                <c:pt idx="2">
                  <c:v>12</c:v>
                </c:pt>
                <c:pt idx="3">
                  <c:v>12</c:v>
                </c:pt>
                <c:pt idx="4">
                  <c:v>13</c:v>
                </c:pt>
                <c:pt idx="5">
                  <c:v>53</c:v>
                </c:pt>
                <c:pt idx="6">
                  <c:v>91</c:v>
                </c:pt>
                <c:pt idx="7">
                  <c:v>291</c:v>
                </c:pt>
              </c:numCache>
            </c:numRef>
          </c:val>
          <c:extLst>
            <c:ext xmlns:c16="http://schemas.microsoft.com/office/drawing/2014/chart" uri="{C3380CC4-5D6E-409C-BE32-E72D297353CC}">
              <c16:uniqueId val="{00000003-B18C-44C8-9796-7FE0ED02335D}"/>
            </c:ext>
          </c:extLst>
        </c:ser>
        <c:dLbls>
          <c:showLegendKey val="0"/>
          <c:showVal val="0"/>
          <c:showCatName val="0"/>
          <c:showSerName val="0"/>
          <c:showPercent val="0"/>
          <c:showBubbleSize val="0"/>
        </c:dLbls>
        <c:gapWidth val="182"/>
        <c:axId val="480085311"/>
        <c:axId val="480081471"/>
      </c:barChart>
      <c:catAx>
        <c:axId val="480085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081471"/>
        <c:crosses val="autoZero"/>
        <c:auto val="1"/>
        <c:lblAlgn val="ctr"/>
        <c:lblOffset val="100"/>
        <c:noMultiLvlLbl val="0"/>
      </c:catAx>
      <c:valAx>
        <c:axId val="480081471"/>
        <c:scaling>
          <c:orientation val="minMax"/>
        </c:scaling>
        <c:delete val="1"/>
        <c:axPos val="b"/>
        <c:numFmt formatCode="0.00" sourceLinked="1"/>
        <c:majorTickMark val="none"/>
        <c:minorTickMark val="none"/>
        <c:tickLblPos val="nextTo"/>
        <c:crossAx val="480085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954134897528855E-2"/>
          <c:y val="4.6552556859760556E-2"/>
          <c:w val="0.90043519955964002"/>
          <c:h val="0.82764906477768341"/>
        </c:manualLayout>
      </c:layout>
      <c:areaChart>
        <c:grouping val="standard"/>
        <c:varyColors val="0"/>
        <c:ser>
          <c:idx val="0"/>
          <c:order val="0"/>
          <c:tx>
            <c:strRef>
              <c:f>'PIVOT REPORT'!$D$2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REPORT'!$C$3:$C$33</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REPORT'!$D$3:$D$33</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1-6805-4C42-8AFD-195F490FB4E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94622944"/>
        <c:axId val="1394624384"/>
      </c:areaChart>
      <c:catAx>
        <c:axId val="139462294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94624384"/>
        <c:crosses val="autoZero"/>
        <c:auto val="1"/>
        <c:lblAlgn val="ctr"/>
        <c:lblOffset val="100"/>
        <c:noMultiLvlLbl val="0"/>
      </c:catAx>
      <c:valAx>
        <c:axId val="1394624384"/>
        <c:scaling>
          <c:orientation val="minMax"/>
        </c:scaling>
        <c:delete val="1"/>
        <c:axPos val="l"/>
        <c:numFmt formatCode="General" sourceLinked="1"/>
        <c:majorTickMark val="out"/>
        <c:minorTickMark val="none"/>
        <c:tickLblPos val="nextTo"/>
        <c:crossAx val="139462294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REPORT!PivotTable7</c:name>
    <c:fmtId val="27"/>
  </c:pivotSource>
  <c:chart>
    <c:autoTitleDeleted val="1"/>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REPORT'!$F$3:$F$33</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REPORT'!$G$3:$G$33</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1-4ECD-464B-B15F-5E09E859DBD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9575248"/>
        <c:axId val="69577168"/>
      </c:areaChart>
      <c:catAx>
        <c:axId val="6957524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9577168"/>
        <c:crosses val="autoZero"/>
        <c:auto val="1"/>
        <c:lblAlgn val="ctr"/>
        <c:lblOffset val="100"/>
        <c:noMultiLvlLbl val="0"/>
      </c:catAx>
      <c:valAx>
        <c:axId val="69577168"/>
        <c:scaling>
          <c:orientation val="minMax"/>
        </c:scaling>
        <c:delete val="1"/>
        <c:axPos val="l"/>
        <c:numFmt formatCode="0.00" sourceLinked="1"/>
        <c:majorTickMark val="out"/>
        <c:minorTickMark val="none"/>
        <c:tickLblPos val="nextTo"/>
        <c:crossAx val="6957524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REPORT!PivotTable8</c:name>
    <c:fmtId val="3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REPORT'!$I$3:$I$33</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REPORT'!$J$3:$J$33</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1-1F78-4366-BA1A-D5CAA2B4E5C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7090736"/>
        <c:axId val="67089296"/>
      </c:areaChart>
      <c:catAx>
        <c:axId val="6709073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7089296"/>
        <c:crosses val="autoZero"/>
        <c:auto val="1"/>
        <c:lblAlgn val="ctr"/>
        <c:lblOffset val="100"/>
        <c:noMultiLvlLbl val="0"/>
      </c:catAx>
      <c:valAx>
        <c:axId val="67089296"/>
        <c:scaling>
          <c:orientation val="minMax"/>
        </c:scaling>
        <c:delete val="1"/>
        <c:axPos val="l"/>
        <c:numFmt formatCode="0.00" sourceLinked="1"/>
        <c:majorTickMark val="out"/>
        <c:minorTickMark val="none"/>
        <c:tickLblPos val="nextTo"/>
        <c:crossAx val="6709073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TIM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15240</xdr:colOff>
      <xdr:row>40</xdr:row>
      <xdr:rowOff>22860</xdr:rowOff>
    </xdr:from>
    <xdr:to>
      <xdr:col>3</xdr:col>
      <xdr:colOff>1463040</xdr:colOff>
      <xdr:row>43</xdr:row>
      <xdr:rowOff>83820</xdr:rowOff>
    </xdr:to>
    <xdr:graphicFrame macro="">
      <xdr:nvGraphicFramePr>
        <xdr:cNvPr id="7" name="Chart 6">
          <a:extLst>
            <a:ext uri="{FF2B5EF4-FFF2-40B4-BE49-F238E27FC236}">
              <a16:creationId xmlns:a16="http://schemas.microsoft.com/office/drawing/2014/main" id="{C4A86D95-FE2E-35AE-4C80-472269792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28574</xdr:colOff>
      <xdr:row>0</xdr:row>
      <xdr:rowOff>23813</xdr:rowOff>
    </xdr:from>
    <xdr:to>
      <xdr:col>5</xdr:col>
      <xdr:colOff>80963</xdr:colOff>
      <xdr:row>3</xdr:row>
      <xdr:rowOff>4763</xdr:rowOff>
    </xdr:to>
    <xdr:sp macro="" textlink="">
      <xdr:nvSpPr>
        <xdr:cNvPr id="2" name="Rectangle: Rounded Corners 1">
          <a:extLst>
            <a:ext uri="{FF2B5EF4-FFF2-40B4-BE49-F238E27FC236}">
              <a16:creationId xmlns:a16="http://schemas.microsoft.com/office/drawing/2014/main" id="{9A117B15-C831-0F1E-A670-2D30E36E3762}"/>
            </a:ext>
          </a:extLst>
        </xdr:cNvPr>
        <xdr:cNvSpPr/>
      </xdr:nvSpPr>
      <xdr:spPr>
        <a:xfrm>
          <a:off x="28574" y="23813"/>
          <a:ext cx="3100389" cy="52387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absolute">
    <xdr:from>
      <xdr:col>5</xdr:col>
      <xdr:colOff>128587</xdr:colOff>
      <xdr:row>0</xdr:row>
      <xdr:rowOff>23813</xdr:rowOff>
    </xdr:from>
    <xdr:to>
      <xdr:col>7</xdr:col>
      <xdr:colOff>85725</xdr:colOff>
      <xdr:row>3</xdr:row>
      <xdr:rowOff>4763</xdr:rowOff>
    </xdr:to>
    <xdr:sp macro="" textlink="">
      <xdr:nvSpPr>
        <xdr:cNvPr id="3" name="Rectangle: Rounded Corners 2">
          <a:extLst>
            <a:ext uri="{FF2B5EF4-FFF2-40B4-BE49-F238E27FC236}">
              <a16:creationId xmlns:a16="http://schemas.microsoft.com/office/drawing/2014/main" id="{10D9D140-A13E-7709-3797-FC120818395F}"/>
            </a:ext>
          </a:extLst>
        </xdr:cNvPr>
        <xdr:cNvSpPr/>
      </xdr:nvSpPr>
      <xdr:spPr>
        <a:xfrm>
          <a:off x="3176587" y="23813"/>
          <a:ext cx="1176338" cy="52387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absolute">
    <xdr:from>
      <xdr:col>7</xdr:col>
      <xdr:colOff>152399</xdr:colOff>
      <xdr:row>0</xdr:row>
      <xdr:rowOff>23813</xdr:rowOff>
    </xdr:from>
    <xdr:to>
      <xdr:col>9</xdr:col>
      <xdr:colOff>300038</xdr:colOff>
      <xdr:row>6</xdr:row>
      <xdr:rowOff>147638</xdr:rowOff>
    </xdr:to>
    <xdr:sp macro="" textlink="">
      <xdr:nvSpPr>
        <xdr:cNvPr id="4" name="Rectangle: Rounded Corners 3">
          <a:extLst>
            <a:ext uri="{FF2B5EF4-FFF2-40B4-BE49-F238E27FC236}">
              <a16:creationId xmlns:a16="http://schemas.microsoft.com/office/drawing/2014/main" id="{AA9AF387-00B2-B2B3-D628-415F9E4D865B}"/>
            </a:ext>
          </a:extLst>
        </xdr:cNvPr>
        <xdr:cNvSpPr/>
      </xdr:nvSpPr>
      <xdr:spPr>
        <a:xfrm>
          <a:off x="4419599" y="23813"/>
          <a:ext cx="1366839" cy="1209675"/>
        </a:xfrm>
        <a:prstGeom prst="roundRect">
          <a:avLst>
            <a:gd name="adj" fmla="val 8085"/>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absolute">
    <xdr:from>
      <xdr:col>9</xdr:col>
      <xdr:colOff>371474</xdr:colOff>
      <xdr:row>0</xdr:row>
      <xdr:rowOff>23813</xdr:rowOff>
    </xdr:from>
    <xdr:to>
      <xdr:col>11</xdr:col>
      <xdr:colOff>519113</xdr:colOff>
      <xdr:row>6</xdr:row>
      <xdr:rowOff>147638</xdr:rowOff>
    </xdr:to>
    <xdr:sp macro="" textlink="">
      <xdr:nvSpPr>
        <xdr:cNvPr id="6" name="Rectangle: Rounded Corners 5">
          <a:extLst>
            <a:ext uri="{FF2B5EF4-FFF2-40B4-BE49-F238E27FC236}">
              <a16:creationId xmlns:a16="http://schemas.microsoft.com/office/drawing/2014/main" id="{5E97564A-0079-36A4-FF2E-8B73FC51016F}"/>
            </a:ext>
          </a:extLst>
        </xdr:cNvPr>
        <xdr:cNvSpPr/>
      </xdr:nvSpPr>
      <xdr:spPr>
        <a:xfrm>
          <a:off x="5857874" y="23813"/>
          <a:ext cx="1366839" cy="1209675"/>
        </a:xfrm>
        <a:prstGeom prst="roundRect">
          <a:avLst>
            <a:gd name="adj" fmla="val 8085"/>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absolute">
    <xdr:from>
      <xdr:col>0</xdr:col>
      <xdr:colOff>38099</xdr:colOff>
      <xdr:row>3</xdr:row>
      <xdr:rowOff>47626</xdr:rowOff>
    </xdr:from>
    <xdr:to>
      <xdr:col>1</xdr:col>
      <xdr:colOff>128588</xdr:colOff>
      <xdr:row>15</xdr:row>
      <xdr:rowOff>109538</xdr:rowOff>
    </xdr:to>
    <xdr:sp macro="" textlink="">
      <xdr:nvSpPr>
        <xdr:cNvPr id="8" name="Rectangle: Rounded Corners 7">
          <a:extLst>
            <a:ext uri="{FF2B5EF4-FFF2-40B4-BE49-F238E27FC236}">
              <a16:creationId xmlns:a16="http://schemas.microsoft.com/office/drawing/2014/main" id="{43ED2EB6-B1F2-9896-C611-FD91A3FB1ABB}"/>
            </a:ext>
          </a:extLst>
        </xdr:cNvPr>
        <xdr:cNvSpPr/>
      </xdr:nvSpPr>
      <xdr:spPr>
        <a:xfrm>
          <a:off x="38099" y="590551"/>
          <a:ext cx="700089" cy="2233612"/>
        </a:xfrm>
        <a:prstGeom prst="roundRect">
          <a:avLst>
            <a:gd name="adj" fmla="val 646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absolute">
    <xdr:from>
      <xdr:col>1</xdr:col>
      <xdr:colOff>171449</xdr:colOff>
      <xdr:row>3</xdr:row>
      <xdr:rowOff>47626</xdr:rowOff>
    </xdr:from>
    <xdr:to>
      <xdr:col>7</xdr:col>
      <xdr:colOff>85725</xdr:colOff>
      <xdr:row>7</xdr:row>
      <xdr:rowOff>76199</xdr:rowOff>
    </xdr:to>
    <xdr:grpSp>
      <xdr:nvGrpSpPr>
        <xdr:cNvPr id="14" name="Group 13">
          <a:extLst>
            <a:ext uri="{FF2B5EF4-FFF2-40B4-BE49-F238E27FC236}">
              <a16:creationId xmlns:a16="http://schemas.microsoft.com/office/drawing/2014/main" id="{9EF9F5E7-6EFD-972D-C6C9-A65C399F4AF7}"/>
            </a:ext>
          </a:extLst>
        </xdr:cNvPr>
        <xdr:cNvGrpSpPr/>
      </xdr:nvGrpSpPr>
      <xdr:grpSpPr>
        <a:xfrm>
          <a:off x="781049" y="590551"/>
          <a:ext cx="3571876" cy="752473"/>
          <a:chOff x="781049" y="590551"/>
          <a:chExt cx="3571876" cy="752473"/>
        </a:xfrm>
      </xdr:grpSpPr>
      <xdr:sp macro="" textlink="">
        <xdr:nvSpPr>
          <xdr:cNvPr id="9" name="Rectangle: Rounded Corners 8">
            <a:extLst>
              <a:ext uri="{FF2B5EF4-FFF2-40B4-BE49-F238E27FC236}">
                <a16:creationId xmlns:a16="http://schemas.microsoft.com/office/drawing/2014/main" id="{371305F2-090A-A16F-3339-0FF21590267F}"/>
              </a:ext>
            </a:extLst>
          </xdr:cNvPr>
          <xdr:cNvSpPr/>
        </xdr:nvSpPr>
        <xdr:spPr>
          <a:xfrm>
            <a:off x="781049" y="590551"/>
            <a:ext cx="1136752" cy="752473"/>
          </a:xfrm>
          <a:prstGeom prst="roundRect">
            <a:avLst>
              <a:gd name="adj" fmla="val 646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sp macro="" textlink="">
        <xdr:nvSpPr>
          <xdr:cNvPr id="10" name="Rectangle: Rounded Corners 9">
            <a:extLst>
              <a:ext uri="{FF2B5EF4-FFF2-40B4-BE49-F238E27FC236}">
                <a16:creationId xmlns:a16="http://schemas.microsoft.com/office/drawing/2014/main" id="{2BC2FB71-EA20-FA92-0D7D-66095DB3CF2C}"/>
              </a:ext>
            </a:extLst>
          </xdr:cNvPr>
          <xdr:cNvSpPr/>
        </xdr:nvSpPr>
        <xdr:spPr>
          <a:xfrm>
            <a:off x="1998611" y="590551"/>
            <a:ext cx="1136752" cy="752473"/>
          </a:xfrm>
          <a:prstGeom prst="roundRect">
            <a:avLst>
              <a:gd name="adj" fmla="val 646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sp macro="" textlink="">
        <xdr:nvSpPr>
          <xdr:cNvPr id="11" name="Rectangle: Rounded Corners 10">
            <a:extLst>
              <a:ext uri="{FF2B5EF4-FFF2-40B4-BE49-F238E27FC236}">
                <a16:creationId xmlns:a16="http://schemas.microsoft.com/office/drawing/2014/main" id="{19E8C5E4-5661-44C7-3E1B-6B6D9817AFF4}"/>
              </a:ext>
            </a:extLst>
          </xdr:cNvPr>
          <xdr:cNvSpPr/>
        </xdr:nvSpPr>
        <xdr:spPr>
          <a:xfrm>
            <a:off x="3216173" y="590551"/>
            <a:ext cx="1136752" cy="752473"/>
          </a:xfrm>
          <a:prstGeom prst="roundRect">
            <a:avLst>
              <a:gd name="adj" fmla="val 646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grpSp>
    <xdr:clientData/>
  </xdr:twoCellAnchor>
  <xdr:twoCellAnchor editAs="absolute">
    <xdr:from>
      <xdr:col>1</xdr:col>
      <xdr:colOff>176211</xdr:colOff>
      <xdr:row>10</xdr:row>
      <xdr:rowOff>42863</xdr:rowOff>
    </xdr:from>
    <xdr:to>
      <xdr:col>7</xdr:col>
      <xdr:colOff>100013</xdr:colOff>
      <xdr:row>15</xdr:row>
      <xdr:rowOff>114300</xdr:rowOff>
    </xdr:to>
    <xdr:sp macro="" textlink="">
      <xdr:nvSpPr>
        <xdr:cNvPr id="13" name="Rectangle: Rounded Corners 12">
          <a:extLst>
            <a:ext uri="{FF2B5EF4-FFF2-40B4-BE49-F238E27FC236}">
              <a16:creationId xmlns:a16="http://schemas.microsoft.com/office/drawing/2014/main" id="{03BD9891-2538-A7FC-EEB4-C1CCBF320741}"/>
            </a:ext>
          </a:extLst>
        </xdr:cNvPr>
        <xdr:cNvSpPr/>
      </xdr:nvSpPr>
      <xdr:spPr>
        <a:xfrm>
          <a:off x="785811" y="1852613"/>
          <a:ext cx="3581402" cy="976312"/>
        </a:xfrm>
        <a:prstGeom prst="roundRect">
          <a:avLst>
            <a:gd name="adj" fmla="val 646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absolute">
    <xdr:from>
      <xdr:col>1</xdr:col>
      <xdr:colOff>176211</xdr:colOff>
      <xdr:row>7</xdr:row>
      <xdr:rowOff>123825</xdr:rowOff>
    </xdr:from>
    <xdr:to>
      <xdr:col>7</xdr:col>
      <xdr:colOff>100013</xdr:colOff>
      <xdr:row>9</xdr:row>
      <xdr:rowOff>176213</xdr:rowOff>
    </xdr:to>
    <xdr:sp macro="" textlink="">
      <xdr:nvSpPr>
        <xdr:cNvPr id="15" name="Rectangle: Rounded Corners 14">
          <a:extLst>
            <a:ext uri="{FF2B5EF4-FFF2-40B4-BE49-F238E27FC236}">
              <a16:creationId xmlns:a16="http://schemas.microsoft.com/office/drawing/2014/main" id="{2908AE80-D056-2D26-C97E-0CCC38D305D0}"/>
            </a:ext>
          </a:extLst>
        </xdr:cNvPr>
        <xdr:cNvSpPr/>
      </xdr:nvSpPr>
      <xdr:spPr>
        <a:xfrm>
          <a:off x="785811" y="1390650"/>
          <a:ext cx="3581402" cy="414338"/>
        </a:xfrm>
        <a:prstGeom prst="roundRect">
          <a:avLst>
            <a:gd name="adj" fmla="val 646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absolute">
    <xdr:from>
      <xdr:col>7</xdr:col>
      <xdr:colOff>171450</xdr:colOff>
      <xdr:row>7</xdr:row>
      <xdr:rowOff>19051</xdr:rowOff>
    </xdr:from>
    <xdr:to>
      <xdr:col>11</xdr:col>
      <xdr:colOff>519113</xdr:colOff>
      <xdr:row>15</xdr:row>
      <xdr:rowOff>119063</xdr:rowOff>
    </xdr:to>
    <xdr:sp macro="" textlink="">
      <xdr:nvSpPr>
        <xdr:cNvPr id="16" name="Rectangle: Rounded Corners 15">
          <a:extLst>
            <a:ext uri="{FF2B5EF4-FFF2-40B4-BE49-F238E27FC236}">
              <a16:creationId xmlns:a16="http://schemas.microsoft.com/office/drawing/2014/main" id="{E24B486D-108A-EFCD-D9F6-844A21E22300}"/>
            </a:ext>
          </a:extLst>
        </xdr:cNvPr>
        <xdr:cNvSpPr/>
      </xdr:nvSpPr>
      <xdr:spPr>
        <a:xfrm>
          <a:off x="4438650" y="1285876"/>
          <a:ext cx="2786063" cy="1547812"/>
        </a:xfrm>
        <a:prstGeom prst="roundRect">
          <a:avLst>
            <a:gd name="adj" fmla="val 8085"/>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0</xdr:col>
      <xdr:colOff>409573</xdr:colOff>
      <xdr:row>0</xdr:row>
      <xdr:rowOff>47626</xdr:rowOff>
    </xdr:from>
    <xdr:to>
      <xdr:col>5</xdr:col>
      <xdr:colOff>104773</xdr:colOff>
      <xdr:row>1</xdr:row>
      <xdr:rowOff>152400</xdr:rowOff>
    </xdr:to>
    <xdr:sp macro="" textlink="">
      <xdr:nvSpPr>
        <xdr:cNvPr id="5" name="TextBox 4">
          <a:extLst>
            <a:ext uri="{FF2B5EF4-FFF2-40B4-BE49-F238E27FC236}">
              <a16:creationId xmlns:a16="http://schemas.microsoft.com/office/drawing/2014/main" id="{C71ADF02-033B-8CBE-7BA1-C04473ECBFCE}"/>
            </a:ext>
          </a:extLst>
        </xdr:cNvPr>
        <xdr:cNvSpPr txBox="1"/>
      </xdr:nvSpPr>
      <xdr:spPr>
        <a:xfrm>
          <a:off x="409573" y="47626"/>
          <a:ext cx="2743200"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HOSPITAL EMERGENCY ROOM</a:t>
          </a:r>
          <a:r>
            <a:rPr lang="en-IN" sz="1100" baseline="0"/>
            <a:t> DASHBOARD</a:t>
          </a:r>
          <a:endParaRPr lang="en-IN" sz="1100"/>
        </a:p>
      </xdr:txBody>
    </xdr:sp>
    <xdr:clientData/>
  </xdr:twoCellAnchor>
  <xdr:twoCellAnchor editAs="oneCell">
    <xdr:from>
      <xdr:col>0</xdr:col>
      <xdr:colOff>0</xdr:colOff>
      <xdr:row>0</xdr:row>
      <xdr:rowOff>51516</xdr:rowOff>
    </xdr:from>
    <xdr:to>
      <xdr:col>1</xdr:col>
      <xdr:colOff>18079</xdr:colOff>
      <xdr:row>2</xdr:row>
      <xdr:rowOff>176212</xdr:rowOff>
    </xdr:to>
    <xdr:pic>
      <xdr:nvPicPr>
        <xdr:cNvPr id="12" name="Picture 11">
          <a:extLst>
            <a:ext uri="{FF2B5EF4-FFF2-40B4-BE49-F238E27FC236}">
              <a16:creationId xmlns:a16="http://schemas.microsoft.com/office/drawing/2014/main" id="{26C4E21C-EB82-C0D3-D949-2EC1D3F1814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647" t="-2433" r="4411" b="2433"/>
        <a:stretch/>
      </xdr:blipFill>
      <xdr:spPr>
        <a:xfrm>
          <a:off x="0" y="51516"/>
          <a:ext cx="627679" cy="486646"/>
        </a:xfrm>
        <a:prstGeom prst="rect">
          <a:avLst/>
        </a:prstGeom>
      </xdr:spPr>
    </xdr:pic>
    <xdr:clientData/>
  </xdr:twoCellAnchor>
  <xdr:twoCellAnchor>
    <xdr:from>
      <xdr:col>1</xdr:col>
      <xdr:colOff>319085</xdr:colOff>
      <xdr:row>1</xdr:row>
      <xdr:rowOff>109538</xdr:rowOff>
    </xdr:from>
    <xdr:to>
      <xdr:col>3</xdr:col>
      <xdr:colOff>538162</xdr:colOff>
      <xdr:row>2</xdr:row>
      <xdr:rowOff>128588</xdr:rowOff>
    </xdr:to>
    <xdr:sp macro="" textlink="">
      <xdr:nvSpPr>
        <xdr:cNvPr id="17" name="TextBox 16">
          <a:extLst>
            <a:ext uri="{FF2B5EF4-FFF2-40B4-BE49-F238E27FC236}">
              <a16:creationId xmlns:a16="http://schemas.microsoft.com/office/drawing/2014/main" id="{8EC33A7B-0CB7-A02E-EDF8-31C376843681}"/>
            </a:ext>
          </a:extLst>
        </xdr:cNvPr>
        <xdr:cNvSpPr txBox="1"/>
      </xdr:nvSpPr>
      <xdr:spPr>
        <a:xfrm>
          <a:off x="928685" y="290513"/>
          <a:ext cx="1438277"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a:t>MONTHLY</a:t>
          </a:r>
          <a:r>
            <a:rPr lang="en-IN" sz="900" baseline="0"/>
            <a:t> REPORT</a:t>
          </a:r>
          <a:endParaRPr lang="en-IN" sz="900"/>
        </a:p>
      </xdr:txBody>
    </xdr:sp>
    <xdr:clientData/>
  </xdr:twoCellAnchor>
  <xdr:twoCellAnchor>
    <xdr:from>
      <xdr:col>1</xdr:col>
      <xdr:colOff>166686</xdr:colOff>
      <xdr:row>5</xdr:row>
      <xdr:rowOff>2</xdr:rowOff>
    </xdr:from>
    <xdr:to>
      <xdr:col>3</xdr:col>
      <xdr:colOff>85725</xdr:colOff>
      <xdr:row>5</xdr:row>
      <xdr:rowOff>166692</xdr:rowOff>
    </xdr:to>
    <xdr:sp macro="" textlink="">
      <xdr:nvSpPr>
        <xdr:cNvPr id="18" name="TextBox 17">
          <a:extLst>
            <a:ext uri="{FF2B5EF4-FFF2-40B4-BE49-F238E27FC236}">
              <a16:creationId xmlns:a16="http://schemas.microsoft.com/office/drawing/2014/main" id="{2F68E3C0-714E-2678-56BF-C489A0C42FDE}"/>
            </a:ext>
          </a:extLst>
        </xdr:cNvPr>
        <xdr:cNvSpPr txBox="1"/>
      </xdr:nvSpPr>
      <xdr:spPr>
        <a:xfrm>
          <a:off x="776286" y="904877"/>
          <a:ext cx="1138239" cy="166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a:t>No.</a:t>
          </a:r>
          <a:r>
            <a:rPr lang="en-IN" sz="800" baseline="0"/>
            <a:t> of Patient</a:t>
          </a:r>
          <a:endParaRPr lang="en-IN" sz="800"/>
        </a:p>
      </xdr:txBody>
    </xdr:sp>
    <xdr:clientData/>
  </xdr:twoCellAnchor>
  <xdr:twoCellAnchor>
    <xdr:from>
      <xdr:col>1</xdr:col>
      <xdr:colOff>190499</xdr:colOff>
      <xdr:row>3</xdr:row>
      <xdr:rowOff>147641</xdr:rowOff>
    </xdr:from>
    <xdr:to>
      <xdr:col>3</xdr:col>
      <xdr:colOff>109538</xdr:colOff>
      <xdr:row>4</xdr:row>
      <xdr:rowOff>147638</xdr:rowOff>
    </xdr:to>
    <xdr:sp macro="" textlink="'PIVOT REPORT'!A3">
      <xdr:nvSpPr>
        <xdr:cNvPr id="19" name="TextBox 18">
          <a:extLst>
            <a:ext uri="{FF2B5EF4-FFF2-40B4-BE49-F238E27FC236}">
              <a16:creationId xmlns:a16="http://schemas.microsoft.com/office/drawing/2014/main" id="{CCED30FD-510C-2F74-A22B-63AA678E688F}"/>
            </a:ext>
          </a:extLst>
        </xdr:cNvPr>
        <xdr:cNvSpPr txBox="1"/>
      </xdr:nvSpPr>
      <xdr:spPr>
        <a:xfrm>
          <a:off x="800099" y="690566"/>
          <a:ext cx="1138239" cy="180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AB5A2D-C4A9-4FC6-A01C-ABDEA01559FB}" type="TxLink">
            <a:rPr lang="en-US" sz="1100" b="0" i="0" u="none" strike="noStrike">
              <a:solidFill>
                <a:srgbClr val="000000"/>
              </a:solidFill>
              <a:latin typeface="Calibri"/>
              <a:ea typeface="Calibri"/>
              <a:cs typeface="Calibri"/>
            </a:rPr>
            <a:pPr algn="ctr"/>
            <a:t>485</a:t>
          </a:fld>
          <a:endParaRPr lang="en-IN" sz="900"/>
        </a:p>
      </xdr:txBody>
    </xdr:sp>
    <xdr:clientData/>
  </xdr:twoCellAnchor>
  <xdr:twoCellAnchor>
    <xdr:from>
      <xdr:col>3</xdr:col>
      <xdr:colOff>166688</xdr:colOff>
      <xdr:row>4</xdr:row>
      <xdr:rowOff>161925</xdr:rowOff>
    </xdr:from>
    <xdr:to>
      <xdr:col>5</xdr:col>
      <xdr:colOff>76200</xdr:colOff>
      <xdr:row>5</xdr:row>
      <xdr:rowOff>160950</xdr:rowOff>
    </xdr:to>
    <xdr:sp macro="" textlink="">
      <xdr:nvSpPr>
        <xdr:cNvPr id="24" name="TextBox 23">
          <a:extLst>
            <a:ext uri="{FF2B5EF4-FFF2-40B4-BE49-F238E27FC236}">
              <a16:creationId xmlns:a16="http://schemas.microsoft.com/office/drawing/2014/main" id="{DA5CDAE3-2A8B-5D66-7D24-9AD587386BC1}"/>
            </a:ext>
          </a:extLst>
        </xdr:cNvPr>
        <xdr:cNvSpPr txBox="1"/>
      </xdr:nvSpPr>
      <xdr:spPr>
        <a:xfrm>
          <a:off x="1995488" y="885825"/>
          <a:ext cx="1128712"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a:t>Average Wait Time</a:t>
          </a:r>
        </a:p>
      </xdr:txBody>
    </xdr:sp>
    <xdr:clientData/>
  </xdr:twoCellAnchor>
  <xdr:twoCellAnchor>
    <xdr:from>
      <xdr:col>3</xdr:col>
      <xdr:colOff>166686</xdr:colOff>
      <xdr:row>3</xdr:row>
      <xdr:rowOff>147641</xdr:rowOff>
    </xdr:from>
    <xdr:to>
      <xdr:col>5</xdr:col>
      <xdr:colOff>85725</xdr:colOff>
      <xdr:row>4</xdr:row>
      <xdr:rowOff>147638</xdr:rowOff>
    </xdr:to>
    <xdr:sp macro="" textlink="'PIVOT REPORT'!A6">
      <xdr:nvSpPr>
        <xdr:cNvPr id="25" name="TextBox 24">
          <a:extLst>
            <a:ext uri="{FF2B5EF4-FFF2-40B4-BE49-F238E27FC236}">
              <a16:creationId xmlns:a16="http://schemas.microsoft.com/office/drawing/2014/main" id="{8450085A-9912-9094-1099-FE6B41A25B49}"/>
            </a:ext>
          </a:extLst>
        </xdr:cNvPr>
        <xdr:cNvSpPr txBox="1"/>
      </xdr:nvSpPr>
      <xdr:spPr>
        <a:xfrm>
          <a:off x="1995486" y="690566"/>
          <a:ext cx="1138239" cy="180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E9B1A4-BC69-49A2-89D2-BEC03CC3CD83}" type="TxLink">
            <a:rPr lang="en-US" sz="1100" b="0" i="0" u="none" strike="noStrike">
              <a:solidFill>
                <a:srgbClr val="000000"/>
              </a:solidFill>
              <a:latin typeface="Calibri"/>
              <a:ea typeface="Calibri"/>
              <a:cs typeface="Calibri"/>
            </a:rPr>
            <a:pPr algn="ctr"/>
            <a:t>35.51</a:t>
          </a:fld>
          <a:endParaRPr lang="en-IN" sz="900"/>
        </a:p>
      </xdr:txBody>
    </xdr:sp>
    <xdr:clientData/>
  </xdr:twoCellAnchor>
  <xdr:twoCellAnchor>
    <xdr:from>
      <xdr:col>5</xdr:col>
      <xdr:colOff>142875</xdr:colOff>
      <xdr:row>4</xdr:row>
      <xdr:rowOff>166688</xdr:rowOff>
    </xdr:from>
    <xdr:to>
      <xdr:col>7</xdr:col>
      <xdr:colOff>171450</xdr:colOff>
      <xdr:row>5</xdr:row>
      <xdr:rowOff>142875</xdr:rowOff>
    </xdr:to>
    <xdr:sp macro="" textlink="">
      <xdr:nvSpPr>
        <xdr:cNvPr id="26" name="TextBox 25">
          <a:extLst>
            <a:ext uri="{FF2B5EF4-FFF2-40B4-BE49-F238E27FC236}">
              <a16:creationId xmlns:a16="http://schemas.microsoft.com/office/drawing/2014/main" id="{042B3A61-139E-7BBA-BBFA-242A79588D12}"/>
            </a:ext>
          </a:extLst>
        </xdr:cNvPr>
        <xdr:cNvSpPr txBox="1"/>
      </xdr:nvSpPr>
      <xdr:spPr>
        <a:xfrm>
          <a:off x="3190875" y="890588"/>
          <a:ext cx="1247775" cy="157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a:t>Patient</a:t>
          </a:r>
          <a:r>
            <a:rPr lang="en-IN" sz="800" baseline="0"/>
            <a:t> Satisfaction Score</a:t>
          </a:r>
          <a:endParaRPr lang="en-IN" sz="800"/>
        </a:p>
      </xdr:txBody>
    </xdr:sp>
    <xdr:clientData/>
  </xdr:twoCellAnchor>
  <xdr:twoCellAnchor>
    <xdr:from>
      <xdr:col>5</xdr:col>
      <xdr:colOff>142873</xdr:colOff>
      <xdr:row>3</xdr:row>
      <xdr:rowOff>147641</xdr:rowOff>
    </xdr:from>
    <xdr:to>
      <xdr:col>7</xdr:col>
      <xdr:colOff>61912</xdr:colOff>
      <xdr:row>4</xdr:row>
      <xdr:rowOff>147638</xdr:rowOff>
    </xdr:to>
    <xdr:sp macro="" textlink="'PIVOT REPORT'!A11">
      <xdr:nvSpPr>
        <xdr:cNvPr id="27" name="TextBox 26">
          <a:extLst>
            <a:ext uri="{FF2B5EF4-FFF2-40B4-BE49-F238E27FC236}">
              <a16:creationId xmlns:a16="http://schemas.microsoft.com/office/drawing/2014/main" id="{0ED34E43-A0B8-CFE4-1F99-3D161D4C23EC}"/>
            </a:ext>
          </a:extLst>
        </xdr:cNvPr>
        <xdr:cNvSpPr txBox="1"/>
      </xdr:nvSpPr>
      <xdr:spPr>
        <a:xfrm>
          <a:off x="3190873" y="690566"/>
          <a:ext cx="1138239" cy="180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811728-ABFA-4C4D-8C4F-E9900FC79A9A}" type="TxLink">
            <a:rPr lang="en-US" sz="1100" b="0" i="0" u="none" strike="noStrike">
              <a:solidFill>
                <a:srgbClr val="000000"/>
              </a:solidFill>
              <a:latin typeface="Calibri"/>
              <a:ea typeface="Calibri"/>
              <a:cs typeface="Calibri"/>
            </a:rPr>
            <a:pPr algn="ctr"/>
            <a:t>4.71</a:t>
          </a:fld>
          <a:endParaRPr lang="en-IN" sz="900"/>
        </a:p>
      </xdr:txBody>
    </xdr:sp>
    <xdr:clientData/>
  </xdr:twoCellAnchor>
  <xdr:twoCellAnchor editAs="oneCell">
    <xdr:from>
      <xdr:col>4</xdr:col>
      <xdr:colOff>423861</xdr:colOff>
      <xdr:row>3</xdr:row>
      <xdr:rowOff>95250</xdr:rowOff>
    </xdr:from>
    <xdr:to>
      <xdr:col>5</xdr:col>
      <xdr:colOff>33336</xdr:colOff>
      <xdr:row>4</xdr:row>
      <xdr:rowOff>133350</xdr:rowOff>
    </xdr:to>
    <xdr:pic>
      <xdr:nvPicPr>
        <xdr:cNvPr id="29" name="Graphic 28" descr="Hourglass Finished with solid fill">
          <a:extLst>
            <a:ext uri="{FF2B5EF4-FFF2-40B4-BE49-F238E27FC236}">
              <a16:creationId xmlns:a16="http://schemas.microsoft.com/office/drawing/2014/main" id="{04B802F7-B5E5-7182-29C1-BEF35391AB1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62261" y="638175"/>
          <a:ext cx="219075" cy="219075"/>
        </a:xfrm>
        <a:prstGeom prst="rect">
          <a:avLst/>
        </a:prstGeom>
      </xdr:spPr>
    </xdr:pic>
    <xdr:clientData/>
  </xdr:twoCellAnchor>
  <xdr:twoCellAnchor editAs="oneCell">
    <xdr:from>
      <xdr:col>6</xdr:col>
      <xdr:colOff>428627</xdr:colOff>
      <xdr:row>3</xdr:row>
      <xdr:rowOff>76200</xdr:rowOff>
    </xdr:from>
    <xdr:to>
      <xdr:col>7</xdr:col>
      <xdr:colOff>71438</xdr:colOff>
      <xdr:row>4</xdr:row>
      <xdr:rowOff>147636</xdr:rowOff>
    </xdr:to>
    <xdr:pic>
      <xdr:nvPicPr>
        <xdr:cNvPr id="31" name="Graphic 30" descr="Customer review with solid fill">
          <a:extLst>
            <a:ext uri="{FF2B5EF4-FFF2-40B4-BE49-F238E27FC236}">
              <a16:creationId xmlns:a16="http://schemas.microsoft.com/office/drawing/2014/main" id="{1DCC0DF9-B659-AB9B-571C-3E78C71A794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086227" y="619125"/>
          <a:ext cx="252411" cy="252411"/>
        </a:xfrm>
        <a:prstGeom prst="rect">
          <a:avLst/>
        </a:prstGeom>
      </xdr:spPr>
    </xdr:pic>
    <xdr:clientData/>
  </xdr:twoCellAnchor>
  <xdr:twoCellAnchor editAs="oneCell">
    <xdr:from>
      <xdr:col>2</xdr:col>
      <xdr:colOff>419099</xdr:colOff>
      <xdr:row>3</xdr:row>
      <xdr:rowOff>76198</xdr:rowOff>
    </xdr:from>
    <xdr:to>
      <xdr:col>3</xdr:col>
      <xdr:colOff>61499</xdr:colOff>
      <xdr:row>4</xdr:row>
      <xdr:rowOff>147223</xdr:rowOff>
    </xdr:to>
    <xdr:pic>
      <xdr:nvPicPr>
        <xdr:cNvPr id="33" name="Graphic 32" descr="User with solid fill">
          <a:extLst>
            <a:ext uri="{FF2B5EF4-FFF2-40B4-BE49-F238E27FC236}">
              <a16:creationId xmlns:a16="http://schemas.microsoft.com/office/drawing/2014/main" id="{BFCE02FD-3B2D-1028-7D23-356B3A5906E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638299" y="619123"/>
          <a:ext cx="252000" cy="252000"/>
        </a:xfrm>
        <a:prstGeom prst="rect">
          <a:avLst/>
        </a:prstGeom>
      </xdr:spPr>
    </xdr:pic>
    <xdr:clientData/>
  </xdr:twoCellAnchor>
  <xdr:twoCellAnchor editAs="oneCell">
    <xdr:from>
      <xdr:col>0</xdr:col>
      <xdr:colOff>85725</xdr:colOff>
      <xdr:row>3</xdr:row>
      <xdr:rowOff>66672</xdr:rowOff>
    </xdr:from>
    <xdr:to>
      <xdr:col>1</xdr:col>
      <xdr:colOff>90488</xdr:colOff>
      <xdr:row>15</xdr:row>
      <xdr:rowOff>85726</xdr:rowOff>
    </xdr:to>
    <mc:AlternateContent xmlns:mc="http://schemas.openxmlformats.org/markup-compatibility/2006" xmlns:a14="http://schemas.microsoft.com/office/drawing/2010/main">
      <mc:Choice Requires="a14">
        <xdr:graphicFrame macro="">
          <xdr:nvGraphicFramePr>
            <xdr:cNvPr id="34" name="Date (Month)">
              <a:extLst>
                <a:ext uri="{FF2B5EF4-FFF2-40B4-BE49-F238E27FC236}">
                  <a16:creationId xmlns:a16="http://schemas.microsoft.com/office/drawing/2014/main" id="{F37F6AB2-BD38-4187-9383-961A71E4268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5725" y="609597"/>
              <a:ext cx="614363" cy="21907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119061</xdr:colOff>
      <xdr:row>5</xdr:row>
      <xdr:rowOff>85724</xdr:rowOff>
    </xdr:from>
    <xdr:to>
      <xdr:col>3</xdr:col>
      <xdr:colOff>95251</xdr:colOff>
      <xdr:row>7</xdr:row>
      <xdr:rowOff>90487</xdr:rowOff>
    </xdr:to>
    <xdr:graphicFrame macro="">
      <xdr:nvGraphicFramePr>
        <xdr:cNvPr id="38" name="Chart 37">
          <a:hlinkClick xmlns:r="http://schemas.openxmlformats.org/officeDocument/2006/relationships" r:id="rId8"/>
          <a:extLst>
            <a:ext uri="{FF2B5EF4-FFF2-40B4-BE49-F238E27FC236}">
              <a16:creationId xmlns:a16="http://schemas.microsoft.com/office/drawing/2014/main" id="{781EF8B4-2482-44DF-825E-00034D019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190501</xdr:colOff>
      <xdr:row>5</xdr:row>
      <xdr:rowOff>157161</xdr:rowOff>
    </xdr:from>
    <xdr:to>
      <xdr:col>5</xdr:col>
      <xdr:colOff>100013</xdr:colOff>
      <xdr:row>7</xdr:row>
      <xdr:rowOff>80961</xdr:rowOff>
    </xdr:to>
    <xdr:graphicFrame macro="">
      <xdr:nvGraphicFramePr>
        <xdr:cNvPr id="40" name="Chart 39">
          <a:hlinkClick xmlns:r="http://schemas.openxmlformats.org/officeDocument/2006/relationships" r:id="rId10"/>
          <a:extLst>
            <a:ext uri="{FF2B5EF4-FFF2-40B4-BE49-F238E27FC236}">
              <a16:creationId xmlns:a16="http://schemas.microsoft.com/office/drawing/2014/main" id="{FED9C647-F2E8-4E47-8636-330FF87143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176215</xdr:colOff>
      <xdr:row>4</xdr:row>
      <xdr:rowOff>157164</xdr:rowOff>
    </xdr:from>
    <xdr:to>
      <xdr:col>7</xdr:col>
      <xdr:colOff>80963</xdr:colOff>
      <xdr:row>7</xdr:row>
      <xdr:rowOff>95251</xdr:rowOff>
    </xdr:to>
    <xdr:graphicFrame macro="">
      <xdr:nvGraphicFramePr>
        <xdr:cNvPr id="41" name="Chart 40">
          <a:hlinkClick xmlns:r="http://schemas.openxmlformats.org/officeDocument/2006/relationships" r:id="rId12"/>
          <a:extLst>
            <a:ext uri="{FF2B5EF4-FFF2-40B4-BE49-F238E27FC236}">
              <a16:creationId xmlns:a16="http://schemas.microsoft.com/office/drawing/2014/main" id="{13A3A413-D7DC-4705-ADD0-3AE2E2229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176214</xdr:colOff>
          <xdr:row>7</xdr:row>
          <xdr:rowOff>126005</xdr:rowOff>
        </xdr:from>
        <xdr:to>
          <xdr:col>7</xdr:col>
          <xdr:colOff>104777</xdr:colOff>
          <xdr:row>9</xdr:row>
          <xdr:rowOff>176213</xdr:rowOff>
        </xdr:to>
        <xdr:pic>
          <xdr:nvPicPr>
            <xdr:cNvPr id="21" name="Picture 20">
              <a:extLst>
                <a:ext uri="{FF2B5EF4-FFF2-40B4-BE49-F238E27FC236}">
                  <a16:creationId xmlns:a16="http://schemas.microsoft.com/office/drawing/2014/main" id="{F5C3C916-911A-D04F-5DF7-EFB90B3B5C2D}"/>
                </a:ext>
              </a:extLst>
            </xdr:cNvPr>
            <xdr:cNvPicPr>
              <a:picLocks noChangeAspect="1" noChangeArrowheads="1"/>
              <a:extLst>
                <a:ext uri="{84589F7E-364E-4C9E-8A38-B11213B215E9}">
                  <a14:cameraTool cellRange="'PIVOT REPORT'!$A$41:$D$43" spid="_x0000_s2066"/>
                </a:ext>
              </a:extLst>
            </xdr:cNvPicPr>
          </xdr:nvPicPr>
          <xdr:blipFill>
            <a:blip xmlns:r="http://schemas.openxmlformats.org/officeDocument/2006/relationships" r:embed="rId14"/>
            <a:srcRect/>
            <a:stretch>
              <a:fillRect/>
            </a:stretch>
          </xdr:blipFill>
          <xdr:spPr bwMode="auto">
            <a:xfrm>
              <a:off x="785814" y="1392830"/>
              <a:ext cx="3586163" cy="412158"/>
            </a:xfrm>
            <a:prstGeom prst="roundRect">
              <a:avLst>
                <a:gd name="adj" fmla="val 16667"/>
              </a:avLst>
            </a:prstGeom>
            <a:ln>
              <a:noFill/>
            </a:ln>
            <a:effectLst>
              <a:outerShdw blurRad="76200" dist="38100" dir="7800000" algn="tl" rotWithShape="0">
                <a:srgbClr val="000000">
                  <a:alpha val="40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1</xdr:col>
      <xdr:colOff>204786</xdr:colOff>
      <xdr:row>9</xdr:row>
      <xdr:rowOff>161924</xdr:rowOff>
    </xdr:from>
    <xdr:to>
      <xdr:col>7</xdr:col>
      <xdr:colOff>109537</xdr:colOff>
      <xdr:row>15</xdr:row>
      <xdr:rowOff>52387</xdr:rowOff>
    </xdr:to>
    <xdr:graphicFrame macro="">
      <xdr:nvGraphicFramePr>
        <xdr:cNvPr id="22" name="Chart 21">
          <a:extLst>
            <a:ext uri="{FF2B5EF4-FFF2-40B4-BE49-F238E27FC236}">
              <a16:creationId xmlns:a16="http://schemas.microsoft.com/office/drawing/2014/main" id="{67CD98FB-17A3-491F-803E-AFEB8685A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552450</xdr:colOff>
      <xdr:row>14</xdr:row>
      <xdr:rowOff>133347</xdr:rowOff>
    </xdr:from>
    <xdr:to>
      <xdr:col>5</xdr:col>
      <xdr:colOff>128588</xdr:colOff>
      <xdr:row>15</xdr:row>
      <xdr:rowOff>119062</xdr:rowOff>
    </xdr:to>
    <xdr:sp macro="" textlink="">
      <xdr:nvSpPr>
        <xdr:cNvPr id="23" name="TextBox 22">
          <a:extLst>
            <a:ext uri="{FF2B5EF4-FFF2-40B4-BE49-F238E27FC236}">
              <a16:creationId xmlns:a16="http://schemas.microsoft.com/office/drawing/2014/main" id="{577EF101-217B-4375-A7FA-429FB6D6241D}"/>
            </a:ext>
          </a:extLst>
        </xdr:cNvPr>
        <xdr:cNvSpPr txBox="1"/>
      </xdr:nvSpPr>
      <xdr:spPr>
        <a:xfrm>
          <a:off x="1771650" y="2666997"/>
          <a:ext cx="1404938" cy="166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700"/>
            <a:t>No.</a:t>
          </a:r>
          <a:r>
            <a:rPr lang="en-IN" sz="700" baseline="0"/>
            <a:t> of Patient by age Group</a:t>
          </a:r>
          <a:endParaRPr lang="en-IN" sz="700"/>
        </a:p>
      </xdr:txBody>
    </xdr:sp>
    <xdr:clientData/>
  </xdr:twoCellAnchor>
  <xdr:twoCellAnchor>
    <xdr:from>
      <xdr:col>7</xdr:col>
      <xdr:colOff>138115</xdr:colOff>
      <xdr:row>0</xdr:row>
      <xdr:rowOff>42864</xdr:rowOff>
    </xdr:from>
    <xdr:to>
      <xdr:col>9</xdr:col>
      <xdr:colOff>161926</xdr:colOff>
      <xdr:row>6</xdr:row>
      <xdr:rowOff>23814</xdr:rowOff>
    </xdr:to>
    <xdr:graphicFrame macro="">
      <xdr:nvGraphicFramePr>
        <xdr:cNvPr id="28" name="Chart 27">
          <a:extLst>
            <a:ext uri="{FF2B5EF4-FFF2-40B4-BE49-F238E27FC236}">
              <a16:creationId xmlns:a16="http://schemas.microsoft.com/office/drawing/2014/main" id="{E0B25BDC-4C93-4D22-8F71-5C0C51D55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100012</xdr:colOff>
      <xdr:row>5</xdr:row>
      <xdr:rowOff>152400</xdr:rowOff>
    </xdr:from>
    <xdr:to>
      <xdr:col>9</xdr:col>
      <xdr:colOff>285750</xdr:colOff>
      <xdr:row>6</xdr:row>
      <xdr:rowOff>138115</xdr:rowOff>
    </xdr:to>
    <xdr:sp macro="" textlink="">
      <xdr:nvSpPr>
        <xdr:cNvPr id="30" name="TextBox 29">
          <a:extLst>
            <a:ext uri="{FF2B5EF4-FFF2-40B4-BE49-F238E27FC236}">
              <a16:creationId xmlns:a16="http://schemas.microsoft.com/office/drawing/2014/main" id="{8AC7A9D1-8B30-43F1-A13A-1E5847C39A63}"/>
            </a:ext>
          </a:extLst>
        </xdr:cNvPr>
        <xdr:cNvSpPr txBox="1"/>
      </xdr:nvSpPr>
      <xdr:spPr>
        <a:xfrm>
          <a:off x="4367212" y="1057275"/>
          <a:ext cx="1404938" cy="166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700"/>
            <a:t>Patient attended within Time</a:t>
          </a:r>
        </a:p>
      </xdr:txBody>
    </xdr:sp>
    <xdr:clientData/>
  </xdr:twoCellAnchor>
  <xdr:twoCellAnchor>
    <xdr:from>
      <xdr:col>9</xdr:col>
      <xdr:colOff>404814</xdr:colOff>
      <xdr:row>0</xdr:row>
      <xdr:rowOff>61912</xdr:rowOff>
    </xdr:from>
    <xdr:to>
      <xdr:col>11</xdr:col>
      <xdr:colOff>445614</xdr:colOff>
      <xdr:row>6</xdr:row>
      <xdr:rowOff>128062</xdr:rowOff>
    </xdr:to>
    <xdr:graphicFrame macro="">
      <xdr:nvGraphicFramePr>
        <xdr:cNvPr id="32" name="Chart 31">
          <a:extLst>
            <a:ext uri="{FF2B5EF4-FFF2-40B4-BE49-F238E27FC236}">
              <a16:creationId xmlns:a16="http://schemas.microsoft.com/office/drawing/2014/main" id="{4A80FF7A-DC31-438B-A0D8-3866DE3DC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328612</xdr:colOff>
      <xdr:row>5</xdr:row>
      <xdr:rowOff>152400</xdr:rowOff>
    </xdr:from>
    <xdr:to>
      <xdr:col>11</xdr:col>
      <xdr:colOff>514350</xdr:colOff>
      <xdr:row>6</xdr:row>
      <xdr:rowOff>138115</xdr:rowOff>
    </xdr:to>
    <xdr:sp macro="" textlink="">
      <xdr:nvSpPr>
        <xdr:cNvPr id="35" name="TextBox 34">
          <a:extLst>
            <a:ext uri="{FF2B5EF4-FFF2-40B4-BE49-F238E27FC236}">
              <a16:creationId xmlns:a16="http://schemas.microsoft.com/office/drawing/2014/main" id="{10B632E1-E543-4617-A660-A9340628F928}"/>
            </a:ext>
          </a:extLst>
        </xdr:cNvPr>
        <xdr:cNvSpPr txBox="1"/>
      </xdr:nvSpPr>
      <xdr:spPr>
        <a:xfrm>
          <a:off x="5815012" y="1057275"/>
          <a:ext cx="1404938" cy="166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700"/>
            <a:t>Gender Wise</a:t>
          </a:r>
          <a:r>
            <a:rPr lang="en-IN" sz="700" baseline="0"/>
            <a:t> Analysis</a:t>
          </a:r>
          <a:endParaRPr lang="en-IN" sz="700"/>
        </a:p>
      </xdr:txBody>
    </xdr:sp>
    <xdr:clientData/>
  </xdr:twoCellAnchor>
  <xdr:twoCellAnchor>
    <xdr:from>
      <xdr:col>7</xdr:col>
      <xdr:colOff>171450</xdr:colOff>
      <xdr:row>6</xdr:row>
      <xdr:rowOff>176213</xdr:rowOff>
    </xdr:from>
    <xdr:to>
      <xdr:col>11</xdr:col>
      <xdr:colOff>457200</xdr:colOff>
      <xdr:row>15</xdr:row>
      <xdr:rowOff>85725</xdr:rowOff>
    </xdr:to>
    <xdr:graphicFrame macro="">
      <xdr:nvGraphicFramePr>
        <xdr:cNvPr id="36" name="Chart 35">
          <a:extLst>
            <a:ext uri="{FF2B5EF4-FFF2-40B4-BE49-F238E27FC236}">
              <a16:creationId xmlns:a16="http://schemas.microsoft.com/office/drawing/2014/main" id="{084E06B3-2EDB-4ED2-A445-EBE148839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47626</xdr:colOff>
      <xdr:row>14</xdr:row>
      <xdr:rowOff>114300</xdr:rowOff>
    </xdr:from>
    <xdr:to>
      <xdr:col>10</xdr:col>
      <xdr:colOff>495301</xdr:colOff>
      <xdr:row>15</xdr:row>
      <xdr:rowOff>100015</xdr:rowOff>
    </xdr:to>
    <xdr:sp macro="" textlink="">
      <xdr:nvSpPr>
        <xdr:cNvPr id="37" name="TextBox 36">
          <a:extLst>
            <a:ext uri="{FF2B5EF4-FFF2-40B4-BE49-F238E27FC236}">
              <a16:creationId xmlns:a16="http://schemas.microsoft.com/office/drawing/2014/main" id="{07ABBA45-0646-494F-8ED1-2D20F159A268}"/>
            </a:ext>
          </a:extLst>
        </xdr:cNvPr>
        <xdr:cNvSpPr txBox="1"/>
      </xdr:nvSpPr>
      <xdr:spPr>
        <a:xfrm>
          <a:off x="4924426" y="2647950"/>
          <a:ext cx="1666875" cy="166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700"/>
            <a:t>No. of patient by Department Referral</a:t>
          </a:r>
        </a:p>
      </xdr:txBody>
    </xdr:sp>
    <xdr:clientData/>
  </xdr:twoCellAnchor>
  <xdr:twoCellAnchor editAs="oneCell">
    <xdr:from>
      <xdr:col>5</xdr:col>
      <xdr:colOff>138112</xdr:colOff>
      <xdr:row>0</xdr:row>
      <xdr:rowOff>80963</xdr:rowOff>
    </xdr:from>
    <xdr:to>
      <xdr:col>7</xdr:col>
      <xdr:colOff>85725</xdr:colOff>
      <xdr:row>2</xdr:row>
      <xdr:rowOff>176213</xdr:rowOff>
    </xdr:to>
    <mc:AlternateContent xmlns:mc="http://schemas.openxmlformats.org/markup-compatibility/2006" xmlns:a14="http://schemas.microsoft.com/office/drawing/2010/main">
      <mc:Choice Requires="a14">
        <xdr:graphicFrame macro="">
          <xdr:nvGraphicFramePr>
            <xdr:cNvPr id="39" name="Date (Year)">
              <a:extLst>
                <a:ext uri="{FF2B5EF4-FFF2-40B4-BE49-F238E27FC236}">
                  <a16:creationId xmlns:a16="http://schemas.microsoft.com/office/drawing/2014/main" id="{71921B79-8402-49A8-8673-F3D9F48992B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186112" y="80963"/>
              <a:ext cx="1166813" cy="457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137160</xdr:rowOff>
    </xdr:from>
    <xdr:to>
      <xdr:col>22</xdr:col>
      <xdr:colOff>541020</xdr:colOff>
      <xdr:row>23</xdr:row>
      <xdr:rowOff>30480</xdr:rowOff>
    </xdr:to>
    <xdr:graphicFrame macro="">
      <xdr:nvGraphicFramePr>
        <xdr:cNvPr id="2" name="Chart 1">
          <a:extLst>
            <a:ext uri="{FF2B5EF4-FFF2-40B4-BE49-F238E27FC236}">
              <a16:creationId xmlns:a16="http://schemas.microsoft.com/office/drawing/2014/main" id="{5C78919B-195F-4988-9AB1-9C62F2FE1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541020</xdr:colOff>
      <xdr:row>23</xdr:row>
      <xdr:rowOff>99060</xdr:rowOff>
    </xdr:from>
    <xdr:to>
      <xdr:col>17</xdr:col>
      <xdr:colOff>601980</xdr:colOff>
      <xdr:row>25</xdr:row>
      <xdr:rowOff>129540</xdr:rowOff>
    </xdr:to>
    <xdr:sp macro="" textlink="">
      <xdr:nvSpPr>
        <xdr:cNvPr id="3" name="TextBox 2">
          <a:extLst>
            <a:ext uri="{FF2B5EF4-FFF2-40B4-BE49-F238E27FC236}">
              <a16:creationId xmlns:a16="http://schemas.microsoft.com/office/drawing/2014/main" id="{0058297C-DF63-44F2-32CA-90186FC4A8B9}"/>
            </a:ext>
          </a:extLst>
        </xdr:cNvPr>
        <xdr:cNvSpPr txBox="1"/>
      </xdr:nvSpPr>
      <xdr:spPr>
        <a:xfrm>
          <a:off x="3589020" y="4305300"/>
          <a:ext cx="73761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Showing</a:t>
          </a:r>
          <a:r>
            <a:rPr lang="en-IN" sz="1400" b="1" baseline="0"/>
            <a:t> Daily Trend with an area sparkline to spot pattern like busy days or seasonal trend . </a:t>
          </a:r>
          <a:endParaRPr lang="en-IN" sz="1400" b="1"/>
        </a:p>
      </xdr:txBody>
    </xdr:sp>
    <xdr:clientData/>
  </xdr:twoCellAnchor>
  <xdr:twoCellAnchor editAs="oneCell">
    <xdr:from>
      <xdr:col>0</xdr:col>
      <xdr:colOff>68580</xdr:colOff>
      <xdr:row>0</xdr:row>
      <xdr:rowOff>167640</xdr:rowOff>
    </xdr:from>
    <xdr:to>
      <xdr:col>0</xdr:col>
      <xdr:colOff>586740</xdr:colOff>
      <xdr:row>3</xdr:row>
      <xdr:rowOff>137160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987D6C52-5E9E-72E0-E33E-18B8BECF3E1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 y="167640"/>
          <a:ext cx="518160" cy="5181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289560</xdr:colOff>
      <xdr:row>23</xdr:row>
      <xdr:rowOff>114300</xdr:rowOff>
    </xdr:from>
    <xdr:to>
      <xdr:col>19</xdr:col>
      <xdr:colOff>251460</xdr:colOff>
      <xdr:row>25</xdr:row>
      <xdr:rowOff>144780</xdr:rowOff>
    </xdr:to>
    <xdr:sp macro="" textlink="">
      <xdr:nvSpPr>
        <xdr:cNvPr id="3" name="TextBox 2">
          <a:extLst>
            <a:ext uri="{FF2B5EF4-FFF2-40B4-BE49-F238E27FC236}">
              <a16:creationId xmlns:a16="http://schemas.microsoft.com/office/drawing/2014/main" id="{C0623C8D-4085-40BE-9134-BF7B1C1E5C76}"/>
            </a:ext>
          </a:extLst>
        </xdr:cNvPr>
        <xdr:cNvSpPr txBox="1"/>
      </xdr:nvSpPr>
      <xdr:spPr>
        <a:xfrm>
          <a:off x="2727960" y="4320540"/>
          <a:ext cx="91059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Use an Area sparkline to track daily changes and highlight days with longer wait</a:t>
          </a:r>
          <a:r>
            <a:rPr lang="en-IN" sz="1400" b="1" baseline="0"/>
            <a:t> times that might need improvements. </a:t>
          </a:r>
          <a:endParaRPr lang="en-IN" sz="1400" b="1"/>
        </a:p>
      </xdr:txBody>
    </xdr:sp>
    <xdr:clientData/>
  </xdr:twoCellAnchor>
  <xdr:twoCellAnchor>
    <xdr:from>
      <xdr:col>0</xdr:col>
      <xdr:colOff>83820</xdr:colOff>
      <xdr:row>0</xdr:row>
      <xdr:rowOff>38100</xdr:rowOff>
    </xdr:from>
    <xdr:to>
      <xdr:col>22</xdr:col>
      <xdr:colOff>198120</xdr:colOff>
      <xdr:row>23</xdr:row>
      <xdr:rowOff>121920</xdr:rowOff>
    </xdr:to>
    <xdr:graphicFrame macro="">
      <xdr:nvGraphicFramePr>
        <xdr:cNvPr id="5" name="Chart 4">
          <a:extLst>
            <a:ext uri="{FF2B5EF4-FFF2-40B4-BE49-F238E27FC236}">
              <a16:creationId xmlns:a16="http://schemas.microsoft.com/office/drawing/2014/main" id="{426C6B98-F7DB-4100-ADF1-57AC823CE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68580</xdr:colOff>
      <xdr:row>0</xdr:row>
      <xdr:rowOff>167640</xdr:rowOff>
    </xdr:from>
    <xdr:to>
      <xdr:col>0</xdr:col>
      <xdr:colOff>586740</xdr:colOff>
      <xdr:row>3</xdr:row>
      <xdr:rowOff>137160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CBCB3916-B8A2-45B7-A7FC-EB776D331A3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 y="167640"/>
          <a:ext cx="518160" cy="5181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289560</xdr:colOff>
      <xdr:row>23</xdr:row>
      <xdr:rowOff>114300</xdr:rowOff>
    </xdr:from>
    <xdr:to>
      <xdr:col>19</xdr:col>
      <xdr:colOff>251460</xdr:colOff>
      <xdr:row>25</xdr:row>
      <xdr:rowOff>144780</xdr:rowOff>
    </xdr:to>
    <xdr:sp macro="" textlink="">
      <xdr:nvSpPr>
        <xdr:cNvPr id="2" name="TextBox 1">
          <a:extLst>
            <a:ext uri="{FF2B5EF4-FFF2-40B4-BE49-F238E27FC236}">
              <a16:creationId xmlns:a16="http://schemas.microsoft.com/office/drawing/2014/main" id="{8CB49048-92FA-4C36-A8CB-E7ECD9D1B14E}"/>
            </a:ext>
          </a:extLst>
        </xdr:cNvPr>
        <xdr:cNvSpPr txBox="1"/>
      </xdr:nvSpPr>
      <xdr:spPr>
        <a:xfrm>
          <a:off x="2727960" y="4320540"/>
          <a:ext cx="91059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Use an Area Chart</a:t>
          </a:r>
          <a:r>
            <a:rPr lang="en-IN" sz="1400" b="1" baseline="0"/>
            <a:t> to show trends ,spot drop in satisfaction , and link them to busy times or challanges. </a:t>
          </a:r>
          <a:endParaRPr lang="en-IN" sz="1400" b="1"/>
        </a:p>
      </xdr:txBody>
    </xdr:sp>
    <xdr:clientData/>
  </xdr:twoCellAnchor>
  <xdr:twoCellAnchor>
    <xdr:from>
      <xdr:col>0</xdr:col>
      <xdr:colOff>91440</xdr:colOff>
      <xdr:row>0</xdr:row>
      <xdr:rowOff>106680</xdr:rowOff>
    </xdr:from>
    <xdr:to>
      <xdr:col>22</xdr:col>
      <xdr:colOff>541020</xdr:colOff>
      <xdr:row>23</xdr:row>
      <xdr:rowOff>137160</xdr:rowOff>
    </xdr:to>
    <xdr:graphicFrame macro="">
      <xdr:nvGraphicFramePr>
        <xdr:cNvPr id="5" name="Chart 4">
          <a:extLst>
            <a:ext uri="{FF2B5EF4-FFF2-40B4-BE49-F238E27FC236}">
              <a16:creationId xmlns:a16="http://schemas.microsoft.com/office/drawing/2014/main" id="{55C8CCF9-FDE8-408C-A18F-AE716590C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68580</xdr:colOff>
      <xdr:row>0</xdr:row>
      <xdr:rowOff>167640</xdr:rowOff>
    </xdr:from>
    <xdr:to>
      <xdr:col>0</xdr:col>
      <xdr:colOff>586740</xdr:colOff>
      <xdr:row>3</xdr:row>
      <xdr:rowOff>137160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123FD789-0F18-476D-9444-96FE8208769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 y="167640"/>
          <a:ext cx="518160" cy="5181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ppy" refreshedDate="45761.341260300927" backgroundQuery="1" createdVersion="8" refreshedVersion="8" minRefreshableVersion="3" recordCount="0" supportSubquery="1" supportAdvancedDrill="1" xr:uid="{A44B0634-F7B3-4D44-913A-54147ABD32C6}">
  <cacheSource type="external" connectionId="3"/>
  <cacheFields count="4">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2"/>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ppy" refreshedDate="45761.341260416666" backgroundQuery="1" createdVersion="8" refreshedVersion="8" minRefreshableVersion="3" recordCount="0" supportSubquery="1" supportAdvancedDrill="1" xr:uid="{34C00B32-6DCE-47A9-A610-52EA735DDB6B}">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ppy" refreshedDate="45761.341260648151" backgroundQuery="1" createdVersion="8" refreshedVersion="8" minRefreshableVersion="3" recordCount="0" supportSubquery="1" supportAdvancedDrill="1" xr:uid="{9EA712DF-6BF4-4B07-BCFB-8A0CE7024A98}">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ppy" refreshedDate="45761.341260763889" backgroundQuery="1" createdVersion="8" refreshedVersion="8" minRefreshableVersion="3" recordCount="0" supportSubquery="1" supportAdvancedDrill="1" xr:uid="{4F962EAE-FEA4-441F-9ACA-2E3B0EEF66AB}">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ppy" refreshedDate="45761.341261458336" backgroundQuery="1" createdVersion="8" refreshedVersion="8" minRefreshableVersion="3" recordCount="0" supportSubquery="1" supportAdvancedDrill="1" xr:uid="{110C2A8F-44F5-4D23-9F04-351DF17D4318}">
  <cacheSource type="external" connectionId="3"/>
  <cacheFields count="4">
    <cacheField name="[Calender_Table].[Date (Month)].[Date (Month)]" caption="Date (Month)" numFmtId="0" hierarchy="1" level="1">
      <sharedItems containsSemiMixedTypes="0" containsNonDate="0" containsString="0"/>
    </cacheField>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ppy" refreshedDate="45761.341262037036" backgroundQuery="1" createdVersion="8" refreshedVersion="8" minRefreshableVersion="3" recordCount="0" supportSubquery="1" supportAdvancedDrill="1" xr:uid="{A5007595-9EB3-46D4-99FB-B7365BF6CCE5}">
  <cacheSource type="external" connectionId="3"/>
  <cacheFields count="4">
    <cacheField name="[Calender_Table].[Date (Month)].[Date (Month)]" caption="Date (Month)" numFmtId="0" hierarchy="1" level="1">
      <sharedItems containsSemiMixedTypes="0" containsNonDate="0" containsString="0"/>
    </cacheField>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ppy" refreshedDate="45761.34126238426" backgroundQuery="1" createdVersion="8" refreshedVersion="8" minRefreshableVersion="3" recordCount="0" supportSubquery="1" supportAdvancedDrill="1" xr:uid="{9723ADBA-3125-45E3-B412-6DF2F3998088}">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1"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Dummy0" numFmtId="0" hierarchy="36" level="32767">
      <extLst>
        <ext xmlns:x14="http://schemas.microsoft.com/office/spreadsheetml/2009/9/main" uri="{63CAB8AC-B538-458d-9737-405883B0398D}">
          <x14:cacheField ignore="1"/>
        </ext>
      </extLst>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ppy" refreshedDate="45761.34126296296" backgroundQuery="1" createdVersion="8" refreshedVersion="8" minRefreshableVersion="3" recordCount="0" supportSubquery="1" supportAdvancedDrill="1" xr:uid="{98233A7E-20BD-4800-896C-16101C5ED987}">
  <cacheSource type="external" connectionId="3"/>
  <cacheFields count="4">
    <cacheField name="[Calender_Table].[Date (Month)].[Date (Month)]" caption="Date (Month)" numFmtId="0" hierarchy="1" level="1">
      <sharedItems containsSemiMixedTypes="0" containsNonDate="0" containsString="0"/>
    </cacheField>
    <cacheField name="[Measures].[Count of Age Group]" caption="Count of Age Group" numFmtId="0" hierarchy="32" level="32767"/>
    <cacheField name="[Hospital Emergency Room Data].[Age Group].[Age Group]" caption="Age Group" numFmtId="0" hierarchy="16" level="1">
      <sharedItems count="8">
        <s v="0-9"/>
        <s v="10-19"/>
        <s v="20-29"/>
        <s v="30-39"/>
        <s v="40-49"/>
        <s v="50-59"/>
        <s v="60-69"/>
        <s v="70-79"/>
      </sharedItems>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ppy" refreshedDate="45761.341263541668" backgroundQuery="1" createdVersion="8" refreshedVersion="8" minRefreshableVersion="3" recordCount="0" supportSubquery="1" supportAdvancedDrill="1" xr:uid="{9D11FFE1-EFC8-4C77-9601-6D0440CB2D6A}">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3"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ppy" refreshedDate="45761.34126400463" backgroundQuery="1" createdVersion="8" refreshedVersion="8" minRefreshableVersion="3" recordCount="0" supportSubquery="1" supportAdvancedDrill="1" xr:uid="{8C4F224E-597F-4D4E-8432-99813B5602EE}">
  <cacheSource type="external" connectionId="3"/>
  <cacheFields count="4">
    <cacheField name="[Calender_Table].[Date (Month)].[Date (Month)]" caption="Date (Month)" numFmtId="0" hierarchy="1" level="1">
      <sharedItems containsSemiMixedTypes="0" containsNonDate="0" containsString="0"/>
    </cacheField>
    <cacheField name="[Measures].[Count of Patient Gender]" caption="Count of Patient Gender" numFmtId="0" hierarchy="34" level="32767"/>
    <cacheField name="[Hospital Emergency Room Data].[Patient Gender].[Patient Gender]" caption="Patient Gender" numFmtId="0" hierarchy="9" level="1">
      <sharedItems count="2">
        <s v="Female"/>
        <s v="Male"/>
      </sharedItems>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ppy" refreshedDate="45761.34126458333" backgroundQuery="1" createdVersion="8" refreshedVersion="8" minRefreshableVersion="3" recordCount="0" supportSubquery="1" supportAdvancedDrill="1" xr:uid="{550C1D10-F9D6-4933-96FA-4B0A55D7D39E}">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ppy" refreshedDate="45761.341265162038" backgroundQuery="1" createdVersion="8" refreshedVersion="8" minRefreshableVersion="3" recordCount="0" supportSubquery="1" supportAdvancedDrill="1" xr:uid="{EA1B8E17-C907-4E80-8A03-870BDF13F4AB}">
  <cacheSource type="external" connectionId="3"/>
  <cacheFields count="4">
    <cacheField name="[Calender_Table].[Date (Month)].[Date (Month)]" caption="Date (Month)" numFmtId="0" hierarchy="1" level="1">
      <sharedItems count="1">
        <s v="Jan"/>
      </sharedItems>
    </cacheField>
    <cacheField name="[Cale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4"/>
      </sharedItems>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ppy" refreshedDate="45761.338397800922" backgroundQuery="1" createdVersion="3" refreshedVersion="8" minRefreshableVersion="3" recordCount="0" supportSubquery="1" supportAdvancedDrill="1" xr:uid="{4AEAF744-0520-47CA-9A55-5D5FF8E50604}">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0979222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222C20-9CF0-4E5B-A9E1-41BC41069027}" name="PivotTable12" cacheId="10" applyNumberFormats="0" applyBorderFormats="0" applyFontFormats="0" applyPatternFormats="0" applyAlignmentFormats="0" applyWidthHeightFormats="1" dataCaption="Values" tag="7e9bd339-4d31-421d-bbd5-74e4e2069f64" updatedVersion="8" minRefreshableVersion="3" subtotalHiddenItems="1" itemPrintTitles="1" createdVersion="8" indent="0" outline="1" outlineData="1" multipleFieldFilters="0" chartFormat="9">
  <location ref="A69:B7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6"/>
    </i>
    <i>
      <x v="3"/>
    </i>
    <i>
      <x v="1"/>
    </i>
    <i>
      <x/>
    </i>
    <i>
      <x v="5"/>
    </i>
    <i>
      <x v="2"/>
    </i>
    <i>
      <x v="4"/>
    </i>
    <i t="grand">
      <x/>
    </i>
  </rowItems>
  <colItems count="1">
    <i/>
  </colItems>
  <dataFields count="1">
    <dataField name="Count of Department Referral" fld="2" subtotal="count" baseField="0" baseItem="0"/>
  </dataFields>
  <formats count="1">
    <format dxfId="0">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4A18E6-3374-4F1C-B5B2-A658A110F2D5}" name="PivotTable8" cacheId="5" applyNumberFormats="0" applyBorderFormats="0" applyFontFormats="0" applyPatternFormats="0" applyAlignmentFormats="0" applyWidthHeightFormats="1" dataCaption="Values" tag="025e8d6b-a0d5-47f5-88cb-b2cb37e2d573" updatedVersion="8" minRefreshableVersion="3" subtotalHiddenItems="1" itemPrintTitles="1" createdVersion="8" indent="0" showHeaders="0" outline="1" outlineData="1" multipleFieldFilters="0" chartFormat="36">
  <location ref="I2:J3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1" baseItem="0"/>
  </dataFields>
  <formats count="2">
    <format dxfId="2">
      <pivotArea collapsedLevelsAreSubtotals="1" fieldPosition="0">
        <references count="1">
          <reference field="1" count="0"/>
        </references>
      </pivotArea>
    </format>
    <format dxfId="1">
      <pivotArea grandRow="1" outline="0" collapsedLevelsAreSubtotals="1" fieldPosition="0"/>
    </format>
  </formats>
  <chartFormats count="2">
    <chartFormat chart="32" format="2"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DC0D4D-850D-4C72-A6DD-786478EFFA09}" name="PivotTable7" cacheId="4" applyNumberFormats="0" applyBorderFormats="0" applyFontFormats="0" applyPatternFormats="0" applyAlignmentFormats="0" applyWidthHeightFormats="1" dataCaption="Values" tag="8702002d-4cd9-419a-bd3d-f1c6b8da3ef1" updatedVersion="8" minRefreshableVersion="3" subtotalHiddenItems="1" itemPrintTitles="1" createdVersion="8" indent="0" showHeaders="0" outline="1" outlineData="1" multipleFieldFilters="0" chartFormat="32">
  <location ref="F2:G3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1" baseItem="0"/>
  </dataFields>
  <formats count="2">
    <format dxfId="4">
      <pivotArea collapsedLevelsAreSubtotals="1" fieldPosition="0">
        <references count="1">
          <reference field="1" count="0"/>
        </references>
      </pivotArea>
    </format>
    <format dxfId="3">
      <pivotArea grandRow="1" outline="0" collapsedLevelsAreSubtotals="1" fieldPosition="0"/>
    </format>
  </formats>
  <chartFormats count="2">
    <chartFormat chart="19" format="2"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B37EB9-D91D-4C2F-AD85-79F4E10C70F5}" name="PivotTable11" cacheId="9" applyNumberFormats="0" applyBorderFormats="0" applyFontFormats="0" applyPatternFormats="0" applyAlignmentFormats="0" applyWidthHeightFormats="1" dataCaption="Values" tag="7e9bd339-4d31-421d-bbd5-74e4e2069f64" updatedVersion="8" minRefreshableVersion="3" subtotalHiddenItems="1" itemPrintTitles="1" createdVersion="8" indent="0" outline="1" outlineData="1" multipleFieldFilters="0" chartFormat="6">
  <location ref="A63:B6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dxfId="5">
      <pivotArea outline="0" collapsedLevelsAreSubtotals="1" fieldPosition="0"/>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602367-522E-476C-923D-4AD89FCD0B1C}" name="PivotTable6" cacheId="0" applyNumberFormats="0" applyBorderFormats="0" applyFontFormats="0" applyPatternFormats="0" applyAlignmentFormats="0" applyWidthHeightFormats="1" dataCaption="Values" tag="8712d1f3-38e5-4c3d-8044-7b7d1ad3568e" updatedVersion="8" minRefreshableVersion="3" subtotalHiddenItems="1" itemPrintTitles="1" createdVersion="8" indent="0" showHeaders="0" outline="1" outlineData="1" multipleFieldFilters="0" chartFormat="17">
  <location ref="C2:D33"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9"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52AAA4-7E06-4633-9BC0-97AF8867F01D}" name="PivotTable2" cacheId="2" applyNumberFormats="0" applyBorderFormats="0" applyFontFormats="0" applyPatternFormats="0" applyAlignmentFormats="0" applyWidthHeightFormats="1" dataCaption="Values" tag="5a852978-722d-4ce6-b743-411e12247fff" updatedVersion="8" minRefreshableVersion="3" subtotalHiddenItems="1" itemPrintTitles="1" createdVersion="8"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
      <pivotArea outline="0" collapsedLevelsAreSubtotals="1" fieldPosition="0"/>
    </format>
  </formats>
  <pivotHierarchies count="36">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36EE5D-6018-4444-BE2B-9AE8C9677CC0}" name="PivotTable5" cacheId="8" applyNumberFormats="0" applyBorderFormats="0" applyFontFormats="0" applyPatternFormats="0" applyAlignmentFormats="0" applyWidthHeightFormats="1" dataCaption="Values" tag="7e9bd339-4d31-421d-bbd5-74e4e2069f64" updatedVersion="8" minRefreshableVersion="3" subtotalHiddenItems="1" itemPrintTitles="1" createdVersion="8" indent="0" outline="1" outlineData="1" multipleFieldFilters="0" chartFormat="9">
  <location ref="A57:B6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2" fld="2" subtotal="count" showDataAs="percentOfTotal" baseField="1" baseItem="0" numFmtId="9"/>
  </dataFields>
  <formats count="2">
    <format dxfId="8">
      <pivotArea outline="0" fieldPosition="0">
        <references count="1">
          <reference field="4294967294" count="1">
            <x v="0"/>
          </reference>
        </references>
      </pivotArea>
    </format>
    <format dxfId="7">
      <pivotArea outline="0" collapsedLevelsAreSubtotals="1" fieldPosition="0"/>
    </format>
  </formats>
  <chartFormats count="3">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1"/>
          </reference>
        </references>
      </pivotArea>
    </chartFormat>
    <chartFormat chart="6" format="9">
      <pivotArea type="data" outline="0" fieldPosition="0">
        <references count="2">
          <reference field="4294967294" count="1" selected="0">
            <x v="0"/>
          </reference>
          <reference field="1" count="1" selected="0">
            <x v="0"/>
          </reference>
        </references>
      </pivotArea>
    </chartFormat>
  </chartFormats>
  <pivotHierarchies count="36">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E9F23D-5235-46F3-B54B-A88BF6F88D05}" name="PivotTable1" cacheId="1" applyNumberFormats="0" applyBorderFormats="0" applyFontFormats="0" applyPatternFormats="0" applyAlignmentFormats="0" applyWidthHeightFormats="1" dataCaption="Values" tag="cc706f66-9b35-49c7-9d61-212198742ec9" updatedVersion="8" minRefreshableVersion="3" subtotalHiddenItems="1" itemPrintTitles="1" createdVersion="8" indent="0" showHeaders="0" outline="1" outlineData="1" multipleFieldFilters="0">
  <location ref="A2:A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DF4DF3-0806-4A24-80B3-20CFB1AF7249}" name="PivotTable3" cacheId="7" applyNumberFormats="0" applyBorderFormats="0" applyFontFormats="0" applyPatternFormats="0" applyAlignmentFormats="0" applyWidthHeightFormats="1" dataCaption="Values" tag="7e9bd339-4d31-421d-bbd5-74e4e2069f64" updatedVersion="8" minRefreshableVersion="3" subtotalHiddenItems="1" itemPrintTitles="1" createdVersion="8" indent="0" outline="1" outlineData="1" multipleFieldFilters="0" chartFormat="4">
  <location ref="A45:B5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numFmtId="1"/>
  </dataFields>
  <formats count="1">
    <format dxfId="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5FF4B4-E96C-409D-BFDD-783E360AA6C0}" name="PivotTable9" cacheId="6" applyNumberFormats="0" applyBorderFormats="0" applyFontFormats="0" applyPatternFormats="0" applyAlignmentFormats="0" applyWidthHeightFormats="1" dataCaption="Values" tag="7e9bd339-4d31-421d-bbd5-74e4e2069f64" updatedVersion="8" minRefreshableVersion="3" subtotalHiddenItems="1" itemPrintTitles="1" createdVersion="8" indent="0" outline="1" outlineData="1" multipleFieldFilters="0" chartFormat="1">
  <location ref="A36:C39"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2" baseItem="0" numFmtId="10">
      <extLst>
        <ext xmlns:x14="http://schemas.microsoft.com/office/spreadsheetml/2009/9/main" uri="{E15A36E0-9728-4e99-A89B-3F7291B0FE68}">
          <x14:dataField sourceField="1" uniqueName="[__Xl2].[Measures].[Count of Patient Admission Flag]"/>
        </ext>
      </extLst>
    </dataField>
  </dataFields>
  <formats count="2">
    <format dxfId="11">
      <pivotArea outline="0" collapsedLevelsAreSubtotals="1" fieldPosition="0"/>
    </format>
    <format dxfId="1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C8E5F52-60E4-49B3-830A-C4C6E9A4EBAD}" name="PivotTable4" cacheId="3" applyNumberFormats="0" applyBorderFormats="0" applyFontFormats="0" applyPatternFormats="0" applyAlignmentFormats="0" applyWidthHeightFormats="1" dataCaption="Values" tag="6a543e0a-7892-4344-a4fe-9299ae968a65" updatedVersion="8" minRefreshableVersion="3" subtotalHiddenItems="1" itemPrintTitles="1" createdVersion="8"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2">
      <pivotArea outline="0" collapsedLevelsAreSubtotals="1" fieldPosition="0"/>
    </format>
  </formats>
  <pivotHierarchies count="36">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DFBE11D-767D-4EC4-AF48-DC57E6852E3B}" name="PivotTable13" cacheId="11" applyNumberFormats="0" applyBorderFormats="0" applyFontFormats="0" applyPatternFormats="0" applyAlignmentFormats="0" applyWidthHeightFormats="1" dataCaption="Values" tag="7e9bd339-4d31-421d-bbd5-74e4e2069f64" updatedVersion="8" minRefreshableVersion="3" subtotalHiddenItems="1" itemPrintTitles="1" createdVersion="8" indent="0" outline="1" outlineData="1" multipleFieldFilters="0" chartFormat="6">
  <location ref="D63:D6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3">
      <pivotArea outline="0" collapsedLevelsAreSubtotals="1" fieldPosition="0"/>
    </format>
  </formats>
  <pivotHierarchies count="36">
    <pivotHierarchy dragToData="1"/>
    <pivotHierarchy multipleItemSelectionAllowed="1" dragToData="1">
      <members count="1" level="1">
        <member name="[Calende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2EB3A86-865C-4499-81FA-77BB3408B3BC}" sourceName="[Calender_Table].[Date (Month)]">
  <pivotTables>
    <pivotTable tabId="1" name="PivotTable6"/>
    <pivotTable tabId="1" name="PivotTable1"/>
    <pivotTable tabId="1" name="PivotTable2"/>
    <pivotTable tabId="1" name="PivotTable4"/>
    <pivotTable tabId="1" name="PivotTable7"/>
    <pivotTable tabId="1" name="PivotTable8"/>
    <pivotTable tabId="1" name="PivotTable9"/>
    <pivotTable tabId="1" name="PivotTable3"/>
    <pivotTable tabId="1" name="PivotTable5"/>
    <pivotTable tabId="1" name="PivotTable11"/>
    <pivotTable tabId="1" name="PivotTable12"/>
    <pivotTable tabId="1" name="PivotTable13"/>
  </pivotTables>
  <data>
    <olap pivotCacheId="1097922218">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B8CB784-2CD4-4D71-96A8-EA67628D88B4}" sourceName="[Calender_Table].[Date (Year)]">
  <pivotTables>
    <pivotTable tabId="1" name="PivotTable13"/>
    <pivotTable tabId="1" name="PivotTable1"/>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097922218">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7C050BB-177B-425B-A8ED-44BD27F2C751}" cache="Slicer_Date__Month" caption="Date (Month)" showCaption="0" level="1" style="MY STYLE" rowHeight="144000"/>
  <slicer name="Date (Year)" xr10:uid="{E290E3B0-E144-4099-AD52-225C64EA9530}" cache="Slicer_Date__Year" caption="Date (Year)" columnCount="2" showCaption="0" level="1" style="MY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130E9-56F6-402A-AB82-01C6FD84BFCD}">
  <dimension ref="A1:J78"/>
  <sheetViews>
    <sheetView topLeftCell="A56" workbookViewId="0">
      <selection activeCell="D64" sqref="D64:D65"/>
    </sheetView>
  </sheetViews>
  <sheetFormatPr defaultRowHeight="14.4" x14ac:dyDescent="0.3"/>
  <cols>
    <col min="1" max="1" width="17.6640625" customWidth="1"/>
    <col min="2" max="2" width="14.88671875" customWidth="1"/>
    <col min="3" max="3" width="11.6640625" customWidth="1"/>
    <col min="4" max="4" width="27.21875" customWidth="1"/>
    <col min="6" max="6" width="14.77734375" customWidth="1"/>
    <col min="7" max="7" width="27.88671875" customWidth="1"/>
    <col min="10" max="10" width="32.44140625" bestFit="1" customWidth="1"/>
  </cols>
  <sheetData>
    <row r="1" spans="1:10" x14ac:dyDescent="0.3">
      <c r="A1" t="s">
        <v>1</v>
      </c>
      <c r="C1" s="12" t="s">
        <v>5</v>
      </c>
      <c r="D1" s="12"/>
      <c r="F1" s="12" t="s">
        <v>7</v>
      </c>
      <c r="G1" s="12"/>
      <c r="I1" s="12" t="s">
        <v>6</v>
      </c>
      <c r="J1" s="12"/>
    </row>
    <row r="2" spans="1:10" x14ac:dyDescent="0.3">
      <c r="A2" t="s">
        <v>0</v>
      </c>
      <c r="D2" t="s">
        <v>0</v>
      </c>
      <c r="G2" t="s">
        <v>2</v>
      </c>
      <c r="J2" t="s">
        <v>3</v>
      </c>
    </row>
    <row r="3" spans="1:10" x14ac:dyDescent="0.3">
      <c r="A3">
        <v>485</v>
      </c>
      <c r="C3" s="4" t="s">
        <v>15</v>
      </c>
      <c r="D3">
        <v>17</v>
      </c>
      <c r="F3" s="4" t="s">
        <v>15</v>
      </c>
      <c r="G3" s="1">
        <v>33.352941176470587</v>
      </c>
      <c r="I3" s="4" t="s">
        <v>15</v>
      </c>
      <c r="J3" s="1">
        <v>4.75</v>
      </c>
    </row>
    <row r="4" spans="1:10" x14ac:dyDescent="0.3">
      <c r="C4" s="4" t="s">
        <v>16</v>
      </c>
      <c r="D4">
        <v>10</v>
      </c>
      <c r="F4" s="4" t="s">
        <v>16</v>
      </c>
      <c r="G4" s="1">
        <v>38.4</v>
      </c>
      <c r="I4" s="4" t="s">
        <v>16</v>
      </c>
      <c r="J4" s="1">
        <v>5.2</v>
      </c>
    </row>
    <row r="5" spans="1:10" x14ac:dyDescent="0.3">
      <c r="A5" t="s">
        <v>2</v>
      </c>
      <c r="C5" s="4" t="s">
        <v>17</v>
      </c>
      <c r="D5">
        <v>23</v>
      </c>
      <c r="F5" s="4" t="s">
        <v>17</v>
      </c>
      <c r="G5" s="1">
        <v>38.521739130434781</v>
      </c>
      <c r="I5" s="4" t="s">
        <v>17</v>
      </c>
      <c r="J5" s="1">
        <v>3.375</v>
      </c>
    </row>
    <row r="6" spans="1:10" x14ac:dyDescent="0.3">
      <c r="A6" s="1">
        <v>35.507216494845359</v>
      </c>
      <c r="C6" s="4" t="s">
        <v>18</v>
      </c>
      <c r="D6">
        <v>15</v>
      </c>
      <c r="F6" s="4" t="s">
        <v>18</v>
      </c>
      <c r="G6" s="1">
        <v>30.4</v>
      </c>
      <c r="I6" s="4" t="s">
        <v>18</v>
      </c>
      <c r="J6" s="1">
        <v>5.8</v>
      </c>
    </row>
    <row r="7" spans="1:10" x14ac:dyDescent="0.3">
      <c r="C7" s="4" t="s">
        <v>19</v>
      </c>
      <c r="D7">
        <v>14</v>
      </c>
      <c r="F7" s="4" t="s">
        <v>19</v>
      </c>
      <c r="G7" s="1">
        <v>33.142857142857146</v>
      </c>
      <c r="I7" s="4" t="s">
        <v>19</v>
      </c>
      <c r="J7" s="1">
        <v>4.375</v>
      </c>
    </row>
    <row r="8" spans="1:10" x14ac:dyDescent="0.3">
      <c r="C8" s="4" t="s">
        <v>20</v>
      </c>
      <c r="D8">
        <v>11</v>
      </c>
      <c r="F8" s="4" t="s">
        <v>20</v>
      </c>
      <c r="G8" s="1">
        <v>38.18181818181818</v>
      </c>
      <c r="I8" s="4" t="s">
        <v>20</v>
      </c>
      <c r="J8" s="1">
        <v>3</v>
      </c>
    </row>
    <row r="9" spans="1:10" x14ac:dyDescent="0.3">
      <c r="C9" s="4" t="s">
        <v>21</v>
      </c>
      <c r="D9">
        <v>15</v>
      </c>
      <c r="F9" s="4" t="s">
        <v>21</v>
      </c>
      <c r="G9" s="1">
        <v>39.733333333333334</v>
      </c>
      <c r="I9" s="4" t="s">
        <v>21</v>
      </c>
      <c r="J9" s="1">
        <v>5</v>
      </c>
    </row>
    <row r="10" spans="1:10" x14ac:dyDescent="0.3">
      <c r="A10" t="s">
        <v>3</v>
      </c>
      <c r="C10" s="4" t="s">
        <v>22</v>
      </c>
      <c r="D10">
        <v>20</v>
      </c>
      <c r="F10" s="4" t="s">
        <v>22</v>
      </c>
      <c r="G10" s="1">
        <v>37</v>
      </c>
      <c r="I10" s="4" t="s">
        <v>22</v>
      </c>
      <c r="J10" s="1">
        <v>3</v>
      </c>
    </row>
    <row r="11" spans="1:10" x14ac:dyDescent="0.3">
      <c r="A11" s="1">
        <v>4.7092198581560281</v>
      </c>
      <c r="C11" s="4" t="s">
        <v>23</v>
      </c>
      <c r="D11">
        <v>21</v>
      </c>
      <c r="F11" s="4" t="s">
        <v>23</v>
      </c>
      <c r="G11" s="1">
        <v>35.61904761904762</v>
      </c>
      <c r="I11" s="4" t="s">
        <v>23</v>
      </c>
      <c r="J11" s="1">
        <v>4.9090909090909092</v>
      </c>
    </row>
    <row r="12" spans="1:10" x14ac:dyDescent="0.3">
      <c r="C12" s="4" t="s">
        <v>24</v>
      </c>
      <c r="D12">
        <v>17</v>
      </c>
      <c r="F12" s="4" t="s">
        <v>24</v>
      </c>
      <c r="G12" s="1">
        <v>34.176470588235297</v>
      </c>
      <c r="I12" s="4" t="s">
        <v>24</v>
      </c>
      <c r="J12" s="1">
        <v>3.8333333333333335</v>
      </c>
    </row>
    <row r="13" spans="1:10" x14ac:dyDescent="0.3">
      <c r="C13" s="4" t="s">
        <v>25</v>
      </c>
      <c r="D13">
        <v>17</v>
      </c>
      <c r="F13" s="4" t="s">
        <v>25</v>
      </c>
      <c r="G13" s="1">
        <v>37.176470588235297</v>
      </c>
      <c r="I13" s="4" t="s">
        <v>25</v>
      </c>
      <c r="J13" s="1">
        <v>3.875</v>
      </c>
    </row>
    <row r="14" spans="1:10" x14ac:dyDescent="0.3">
      <c r="C14" s="4" t="s">
        <v>26</v>
      </c>
      <c r="D14">
        <v>17</v>
      </c>
      <c r="F14" s="4" t="s">
        <v>26</v>
      </c>
      <c r="G14" s="1">
        <v>36.647058823529413</v>
      </c>
      <c r="I14" s="4" t="s">
        <v>26</v>
      </c>
      <c r="J14" s="1">
        <v>4.333333333333333</v>
      </c>
    </row>
    <row r="15" spans="1:10" x14ac:dyDescent="0.3">
      <c r="C15" s="4" t="s">
        <v>27</v>
      </c>
      <c r="D15">
        <v>17</v>
      </c>
      <c r="F15" s="4" t="s">
        <v>27</v>
      </c>
      <c r="G15" s="1">
        <v>34.941176470588232</v>
      </c>
      <c r="I15" s="4" t="s">
        <v>27</v>
      </c>
      <c r="J15" s="1">
        <v>3.5</v>
      </c>
    </row>
    <row r="16" spans="1:10" x14ac:dyDescent="0.3">
      <c r="C16" s="4" t="s">
        <v>28</v>
      </c>
      <c r="D16">
        <v>11</v>
      </c>
      <c r="F16" s="4" t="s">
        <v>28</v>
      </c>
      <c r="G16" s="1">
        <v>44</v>
      </c>
      <c r="I16" s="4" t="s">
        <v>28</v>
      </c>
      <c r="J16" s="1">
        <v>5.4</v>
      </c>
    </row>
    <row r="17" spans="3:10" x14ac:dyDescent="0.3">
      <c r="C17" s="4" t="s">
        <v>29</v>
      </c>
      <c r="D17">
        <v>23</v>
      </c>
      <c r="F17" s="4" t="s">
        <v>29</v>
      </c>
      <c r="G17" s="1">
        <v>38.913043478260867</v>
      </c>
      <c r="I17" s="4" t="s">
        <v>29</v>
      </c>
      <c r="J17" s="1">
        <v>5.375</v>
      </c>
    </row>
    <row r="18" spans="3:10" x14ac:dyDescent="0.3">
      <c r="C18" s="4" t="s">
        <v>30</v>
      </c>
      <c r="D18">
        <v>14</v>
      </c>
      <c r="F18" s="4" t="s">
        <v>30</v>
      </c>
      <c r="G18" s="1">
        <v>31</v>
      </c>
      <c r="I18" s="4" t="s">
        <v>30</v>
      </c>
      <c r="J18" s="1">
        <v>3.3333333333333335</v>
      </c>
    </row>
    <row r="19" spans="3:10" x14ac:dyDescent="0.3">
      <c r="C19" s="4" t="s">
        <v>31</v>
      </c>
      <c r="D19">
        <v>22</v>
      </c>
      <c r="F19" s="4" t="s">
        <v>31</v>
      </c>
      <c r="G19" s="1">
        <v>34.227272727272727</v>
      </c>
      <c r="I19" s="4" t="s">
        <v>31</v>
      </c>
      <c r="J19" s="1">
        <v>6.2</v>
      </c>
    </row>
    <row r="20" spans="3:10" x14ac:dyDescent="0.3">
      <c r="C20" s="4" t="s">
        <v>32</v>
      </c>
      <c r="D20">
        <v>16</v>
      </c>
      <c r="F20" s="4" t="s">
        <v>32</v>
      </c>
      <c r="G20" s="1">
        <v>31</v>
      </c>
      <c r="I20" s="4" t="s">
        <v>32</v>
      </c>
      <c r="J20" s="1">
        <v>1.6666666666666667</v>
      </c>
    </row>
    <row r="21" spans="3:10" x14ac:dyDescent="0.3">
      <c r="C21" s="4" t="s">
        <v>33</v>
      </c>
      <c r="D21">
        <v>13</v>
      </c>
      <c r="F21" s="4" t="s">
        <v>33</v>
      </c>
      <c r="G21" s="1">
        <v>32.153846153846153</v>
      </c>
      <c r="I21" s="4" t="s">
        <v>33</v>
      </c>
      <c r="J21" s="1">
        <v>4.5</v>
      </c>
    </row>
    <row r="22" spans="3:10" x14ac:dyDescent="0.3">
      <c r="C22" s="4" t="s">
        <v>34</v>
      </c>
      <c r="D22">
        <v>14</v>
      </c>
      <c r="F22" s="4" t="s">
        <v>34</v>
      </c>
      <c r="G22" s="1">
        <v>32.785714285714285</v>
      </c>
      <c r="I22" s="4" t="s">
        <v>34</v>
      </c>
      <c r="J22" s="1">
        <v>7.666666666666667</v>
      </c>
    </row>
    <row r="23" spans="3:10" x14ac:dyDescent="0.3">
      <c r="C23" s="4" t="s">
        <v>35</v>
      </c>
      <c r="D23">
        <v>12</v>
      </c>
      <c r="F23" s="4" t="s">
        <v>35</v>
      </c>
      <c r="G23" s="1">
        <v>30</v>
      </c>
      <c r="I23" s="4" t="s">
        <v>35</v>
      </c>
      <c r="J23" s="1">
        <v>4.4000000000000004</v>
      </c>
    </row>
    <row r="24" spans="3:10" x14ac:dyDescent="0.3">
      <c r="C24" s="4" t="s">
        <v>36</v>
      </c>
      <c r="D24">
        <v>12</v>
      </c>
      <c r="F24" s="4" t="s">
        <v>36</v>
      </c>
      <c r="G24" s="1">
        <v>33.5</v>
      </c>
      <c r="I24" s="4" t="s">
        <v>36</v>
      </c>
      <c r="J24" s="1">
        <v>6.5</v>
      </c>
    </row>
    <row r="25" spans="3:10" x14ac:dyDescent="0.3">
      <c r="C25" s="4" t="s">
        <v>37</v>
      </c>
      <c r="D25">
        <v>20</v>
      </c>
      <c r="F25" s="4" t="s">
        <v>37</v>
      </c>
      <c r="G25" s="1">
        <v>32.950000000000003</v>
      </c>
      <c r="I25" s="4" t="s">
        <v>37</v>
      </c>
      <c r="J25" s="1">
        <v>5</v>
      </c>
    </row>
    <row r="26" spans="3:10" x14ac:dyDescent="0.3">
      <c r="C26" s="4" t="s">
        <v>38</v>
      </c>
      <c r="D26">
        <v>19</v>
      </c>
      <c r="F26" s="4" t="s">
        <v>38</v>
      </c>
      <c r="G26" s="1">
        <v>35.842105263157897</v>
      </c>
      <c r="I26" s="4" t="s">
        <v>38</v>
      </c>
      <c r="J26" s="1">
        <v>5.25</v>
      </c>
    </row>
    <row r="27" spans="3:10" x14ac:dyDescent="0.3">
      <c r="C27" s="4" t="s">
        <v>39</v>
      </c>
      <c r="D27">
        <v>13</v>
      </c>
      <c r="F27" s="4" t="s">
        <v>39</v>
      </c>
      <c r="G27" s="1">
        <v>33.846153846153847</v>
      </c>
      <c r="I27" s="4" t="s">
        <v>39</v>
      </c>
      <c r="J27" s="1">
        <v>4.75</v>
      </c>
    </row>
    <row r="28" spans="3:10" x14ac:dyDescent="0.3">
      <c r="C28" s="4" t="s">
        <v>40</v>
      </c>
      <c r="D28">
        <v>15</v>
      </c>
      <c r="F28" s="4" t="s">
        <v>40</v>
      </c>
      <c r="G28" s="1">
        <v>39.06666666666667</v>
      </c>
      <c r="I28" s="4" t="s">
        <v>40</v>
      </c>
      <c r="J28" s="1">
        <v>5</v>
      </c>
    </row>
    <row r="29" spans="3:10" x14ac:dyDescent="0.3">
      <c r="C29" s="4" t="s">
        <v>41</v>
      </c>
      <c r="D29">
        <v>19</v>
      </c>
      <c r="F29" s="4" t="s">
        <v>41</v>
      </c>
      <c r="G29" s="1">
        <v>36.684210526315788</v>
      </c>
      <c r="I29" s="4" t="s">
        <v>41</v>
      </c>
      <c r="J29" s="1">
        <v>4</v>
      </c>
    </row>
    <row r="30" spans="3:10" x14ac:dyDescent="0.3">
      <c r="C30" s="4" t="s">
        <v>42</v>
      </c>
      <c r="D30">
        <v>17</v>
      </c>
      <c r="F30" s="4" t="s">
        <v>42</v>
      </c>
      <c r="G30" s="1">
        <v>33.764705882352942</v>
      </c>
      <c r="I30" s="4" t="s">
        <v>42</v>
      </c>
      <c r="J30" s="1">
        <v>5.333333333333333</v>
      </c>
    </row>
    <row r="31" spans="3:10" x14ac:dyDescent="0.3">
      <c r="C31" s="4" t="s">
        <v>43</v>
      </c>
      <c r="D31">
        <v>15</v>
      </c>
      <c r="F31" s="4" t="s">
        <v>43</v>
      </c>
      <c r="G31" s="1">
        <v>34.533333333333331</v>
      </c>
      <c r="I31" s="4" t="s">
        <v>43</v>
      </c>
      <c r="J31" s="1">
        <v>6</v>
      </c>
    </row>
    <row r="32" spans="3:10" x14ac:dyDescent="0.3">
      <c r="C32" s="4" t="s">
        <v>44</v>
      </c>
      <c r="D32">
        <v>16</v>
      </c>
      <c r="F32" s="4" t="s">
        <v>44</v>
      </c>
      <c r="G32" s="1">
        <v>42.125</v>
      </c>
      <c r="I32" s="4" t="s">
        <v>44</v>
      </c>
      <c r="J32" s="1">
        <v>6.333333333333333</v>
      </c>
    </row>
    <row r="33" spans="1:10" x14ac:dyDescent="0.3">
      <c r="C33" s="4" t="s">
        <v>4</v>
      </c>
      <c r="D33">
        <v>485</v>
      </c>
      <c r="F33" s="4" t="s">
        <v>4</v>
      </c>
      <c r="G33" s="1">
        <v>35.507216494845359</v>
      </c>
      <c r="I33" s="4" t="s">
        <v>4</v>
      </c>
      <c r="J33" s="1">
        <v>4.7092198581560281</v>
      </c>
    </row>
    <row r="36" spans="1:10" x14ac:dyDescent="0.3">
      <c r="A36" s="3" t="s">
        <v>9</v>
      </c>
      <c r="B36" t="s">
        <v>8</v>
      </c>
      <c r="C36" t="s">
        <v>12</v>
      </c>
    </row>
    <row r="37" spans="1:10" x14ac:dyDescent="0.3">
      <c r="A37" s="4" t="s">
        <v>10</v>
      </c>
      <c r="B37" s="1">
        <v>235</v>
      </c>
      <c r="C37" s="6">
        <v>0.4845360824742268</v>
      </c>
    </row>
    <row r="38" spans="1:10" x14ac:dyDescent="0.3">
      <c r="A38" s="4" t="s">
        <v>11</v>
      </c>
      <c r="B38" s="1">
        <v>250</v>
      </c>
      <c r="C38" s="6">
        <v>0.51546391752577314</v>
      </c>
    </row>
    <row r="39" spans="1:10" x14ac:dyDescent="0.3">
      <c r="A39" s="4" t="s">
        <v>4</v>
      </c>
      <c r="B39" s="1">
        <v>485</v>
      </c>
      <c r="C39" s="6">
        <v>1</v>
      </c>
    </row>
    <row r="41" spans="1:10" x14ac:dyDescent="0.3">
      <c r="A41" s="9" t="s">
        <v>13</v>
      </c>
      <c r="B41" s="5" t="s">
        <v>1</v>
      </c>
      <c r="C41" s="5" t="s">
        <v>14</v>
      </c>
      <c r="D41" s="5"/>
    </row>
    <row r="42" spans="1:10" x14ac:dyDescent="0.3">
      <c r="A42" s="7" t="str">
        <f>A38</f>
        <v>Not Admitted</v>
      </c>
      <c r="B42" s="7">
        <f>B38</f>
        <v>250</v>
      </c>
      <c r="C42" s="8">
        <f>C38</f>
        <v>0.51546391752577314</v>
      </c>
      <c r="D42" s="7"/>
    </row>
    <row r="43" spans="1:10" x14ac:dyDescent="0.3">
      <c r="A43" s="7" t="str">
        <f>A37</f>
        <v>Admitted</v>
      </c>
      <c r="B43" s="7">
        <f>B37</f>
        <v>235</v>
      </c>
      <c r="C43" s="8">
        <f>C37</f>
        <v>0.4845360824742268</v>
      </c>
      <c r="D43" s="7"/>
    </row>
    <row r="45" spans="1:10" x14ac:dyDescent="0.3">
      <c r="A45" s="3" t="s">
        <v>9</v>
      </c>
      <c r="B45" t="s">
        <v>45</v>
      </c>
    </row>
    <row r="46" spans="1:10" x14ac:dyDescent="0.3">
      <c r="A46" s="4" t="s">
        <v>46</v>
      </c>
      <c r="B46" s="10">
        <v>59</v>
      </c>
    </row>
    <row r="47" spans="1:10" x14ac:dyDescent="0.3">
      <c r="A47" s="4" t="s">
        <v>47</v>
      </c>
      <c r="B47" s="10">
        <v>55</v>
      </c>
    </row>
    <row r="48" spans="1:10" x14ac:dyDescent="0.3">
      <c r="A48" s="4" t="s">
        <v>48</v>
      </c>
      <c r="B48" s="10">
        <v>69</v>
      </c>
    </row>
    <row r="49" spans="1:4" x14ac:dyDescent="0.3">
      <c r="A49" s="4" t="s">
        <v>49</v>
      </c>
      <c r="B49" s="10">
        <v>64</v>
      </c>
    </row>
    <row r="50" spans="1:4" x14ac:dyDescent="0.3">
      <c r="A50" s="4" t="s">
        <v>50</v>
      </c>
      <c r="B50" s="10">
        <v>56</v>
      </c>
    </row>
    <row r="51" spans="1:4" x14ac:dyDescent="0.3">
      <c r="A51" s="4" t="s">
        <v>51</v>
      </c>
      <c r="B51" s="10">
        <v>60</v>
      </c>
    </row>
    <row r="52" spans="1:4" x14ac:dyDescent="0.3">
      <c r="A52" s="4" t="s">
        <v>52</v>
      </c>
      <c r="B52" s="10">
        <v>51</v>
      </c>
    </row>
    <row r="53" spans="1:4" x14ac:dyDescent="0.3">
      <c r="A53" s="4" t="s">
        <v>53</v>
      </c>
      <c r="B53" s="10">
        <v>71</v>
      </c>
    </row>
    <row r="54" spans="1:4" x14ac:dyDescent="0.3">
      <c r="A54" s="4" t="s">
        <v>4</v>
      </c>
      <c r="B54" s="10">
        <v>485</v>
      </c>
    </row>
    <row r="57" spans="1:4" x14ac:dyDescent="0.3">
      <c r="A57" s="3" t="s">
        <v>9</v>
      </c>
      <c r="B57" t="s">
        <v>56</v>
      </c>
    </row>
    <row r="58" spans="1:4" x14ac:dyDescent="0.3">
      <c r="A58" s="4" t="s">
        <v>54</v>
      </c>
      <c r="B58" s="11">
        <v>0.6123711340206186</v>
      </c>
    </row>
    <row r="59" spans="1:4" x14ac:dyDescent="0.3">
      <c r="A59" s="4" t="s">
        <v>55</v>
      </c>
      <c r="B59" s="11">
        <v>0.38762886597938145</v>
      </c>
    </row>
    <row r="60" spans="1:4" x14ac:dyDescent="0.3">
      <c r="A60" s="4" t="s">
        <v>4</v>
      </c>
      <c r="B60" s="11">
        <v>1</v>
      </c>
    </row>
    <row r="63" spans="1:4" x14ac:dyDescent="0.3">
      <c r="A63" s="3" t="s">
        <v>9</v>
      </c>
      <c r="B63" t="s">
        <v>57</v>
      </c>
      <c r="D63" s="3" t="s">
        <v>9</v>
      </c>
    </row>
    <row r="64" spans="1:4" x14ac:dyDescent="0.3">
      <c r="A64" s="4" t="s">
        <v>58</v>
      </c>
      <c r="B64" s="1">
        <v>239</v>
      </c>
      <c r="D64" s="4" t="s">
        <v>69</v>
      </c>
    </row>
    <row r="65" spans="1:4" x14ac:dyDescent="0.3">
      <c r="A65" s="4" t="s">
        <v>59</v>
      </c>
      <c r="B65" s="1">
        <v>246</v>
      </c>
      <c r="D65" s="4" t="s">
        <v>4</v>
      </c>
    </row>
    <row r="66" spans="1:4" x14ac:dyDescent="0.3">
      <c r="A66" s="4" t="s">
        <v>4</v>
      </c>
      <c r="B66" s="1">
        <v>485</v>
      </c>
    </row>
    <row r="69" spans="1:4" x14ac:dyDescent="0.3">
      <c r="A69" s="3" t="s">
        <v>9</v>
      </c>
      <c r="B69" t="s">
        <v>68</v>
      </c>
    </row>
    <row r="70" spans="1:4" x14ac:dyDescent="0.3">
      <c r="A70" s="4" t="s">
        <v>67</v>
      </c>
      <c r="B70" s="1">
        <v>2</v>
      </c>
    </row>
    <row r="71" spans="1:4" x14ac:dyDescent="0.3">
      <c r="A71" s="4" t="s">
        <v>66</v>
      </c>
      <c r="B71" s="1">
        <v>11</v>
      </c>
    </row>
    <row r="72" spans="1:4" x14ac:dyDescent="0.3">
      <c r="A72" s="4" t="s">
        <v>63</v>
      </c>
      <c r="B72" s="1">
        <v>12</v>
      </c>
    </row>
    <row r="73" spans="1:4" x14ac:dyDescent="0.3">
      <c r="A73" s="4" t="s">
        <v>61</v>
      </c>
      <c r="B73" s="1">
        <v>12</v>
      </c>
    </row>
    <row r="74" spans="1:4" x14ac:dyDescent="0.3">
      <c r="A74" s="4" t="s">
        <v>60</v>
      </c>
      <c r="B74" s="1">
        <v>13</v>
      </c>
    </row>
    <row r="75" spans="1:4" x14ac:dyDescent="0.3">
      <c r="A75" s="4" t="s">
        <v>65</v>
      </c>
      <c r="B75" s="1">
        <v>53</v>
      </c>
    </row>
    <row r="76" spans="1:4" x14ac:dyDescent="0.3">
      <c r="A76" s="4" t="s">
        <v>62</v>
      </c>
      <c r="B76" s="1">
        <v>91</v>
      </c>
    </row>
    <row r="77" spans="1:4" x14ac:dyDescent="0.3">
      <c r="A77" s="4" t="s">
        <v>64</v>
      </c>
      <c r="B77" s="1">
        <v>291</v>
      </c>
    </row>
    <row r="78" spans="1:4" x14ac:dyDescent="0.3">
      <c r="A78" s="4" t="s">
        <v>4</v>
      </c>
      <c r="B78" s="1">
        <v>485</v>
      </c>
    </row>
  </sheetData>
  <mergeCells count="3">
    <mergeCell ref="C1:D1"/>
    <mergeCell ref="F1:G1"/>
    <mergeCell ref="I1:J1"/>
  </mergeCell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69F21-26EF-4531-A06F-29452E2E1097}">
  <dimension ref="A1"/>
  <sheetViews>
    <sheetView tabSelected="1" zoomScale="160" zoomScaleNormal="160" workbookViewId="0">
      <selection activeCell="M2" sqref="M2"/>
    </sheetView>
  </sheetViews>
  <sheetFormatPr defaultRowHeight="14.4" x14ac:dyDescent="0.3"/>
  <cols>
    <col min="1" max="16384" width="8.88671875" style="2"/>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35AB8-7367-4E25-B5E6-4F569A36631E}">
  <dimension ref="A1:X27"/>
  <sheetViews>
    <sheetView workbookViewId="0"/>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D4999-2663-4895-9B00-F4F040089E4E}">
  <dimension ref="A1:X27"/>
  <sheetViews>
    <sheetView workbookViewId="0"/>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1ED39-8B8C-4034-A45B-7BB80879AD88}">
  <dimension ref="A1:X27"/>
  <sheetViews>
    <sheetView workbookViewId="0"/>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F700DF2-6A81-4FD6-BC4F-D83A82EF8535}">
  <ds:schemaRefs>
    <ds:schemaRef ds:uri="http://schemas.microsoft.com/DataMashup"/>
  </ds:schemaRefs>
</ds:datastoreItem>
</file>

<file path=customXml/itemProps2.xml><?xml version="1.0" encoding="utf-8"?>
<ds:datastoreItem xmlns:ds="http://schemas.openxmlformats.org/officeDocument/2006/customXml" ds:itemID="{3B328A19-F6CE-4DD2-B266-B7BEF8FD7BB4}">
  <ds:schemaRefs/>
</ds:datastoreItem>
</file>

<file path=customXml/itemProps3.xml><?xml version="1.0" encoding="utf-8"?>
<ds:datastoreItem xmlns:ds="http://schemas.openxmlformats.org/officeDocument/2006/customXml" ds:itemID="{F099AA22-0198-4038-8789-2BD69D9D1B10}">
  <ds:schemaRefs/>
</ds:datastoreItem>
</file>

<file path=customXml/itemProps4.xml><?xml version="1.0" encoding="utf-8"?>
<ds:datastoreItem xmlns:ds="http://schemas.openxmlformats.org/officeDocument/2006/customXml" ds:itemID="{D85ADE6B-10DB-47F2-A07E-C1C6C39BB68B}">
  <ds:schemaRefs/>
</ds:datastoreItem>
</file>

<file path=customXml/itemProps5.xml><?xml version="1.0" encoding="utf-8"?>
<ds:datastoreItem xmlns:ds="http://schemas.openxmlformats.org/officeDocument/2006/customXml" ds:itemID="{2E5822BD-E05C-42E1-B0A0-E9D92787839F}">
  <ds:schemaRefs/>
</ds:datastoreItem>
</file>

<file path=customXml/itemProps6.xml><?xml version="1.0" encoding="utf-8"?>
<ds:datastoreItem xmlns:ds="http://schemas.openxmlformats.org/officeDocument/2006/customXml" ds:itemID="{0267C3E1-59C6-4E9E-9005-E8125CFF9652}">
  <ds:schemaRefs/>
</ds:datastoreItem>
</file>

<file path=customXml/itemProps7.xml><?xml version="1.0" encoding="utf-8"?>
<ds:datastoreItem xmlns:ds="http://schemas.openxmlformats.org/officeDocument/2006/customXml" ds:itemID="{47B99B46-E79B-476B-A87B-DC62320EC481}">
  <ds:schemaRefs/>
</ds:datastoreItem>
</file>

<file path=customXml/itemProps8.xml><?xml version="1.0" encoding="utf-8"?>
<ds:datastoreItem xmlns:ds="http://schemas.openxmlformats.org/officeDocument/2006/customXml" ds:itemID="{D8FADE11-1CBD-4C32-BAD7-6B98D6103025}">
  <ds:schemaRefs/>
</ds:datastoreItem>
</file>

<file path=customXml/itemProps9.xml><?xml version="1.0" encoding="utf-8"?>
<ds:datastoreItem xmlns:ds="http://schemas.openxmlformats.org/officeDocument/2006/customXml" ds:itemID="{E4985770-E220-408F-8BE3-18B35B5692B2}">
  <ds:schemaRefs/>
</ds:datastoreItem>
</file>

<file path=customXml/itemProps10.xml><?xml version="1.0" encoding="utf-8"?>
<ds:datastoreItem xmlns:ds="http://schemas.openxmlformats.org/officeDocument/2006/customXml" ds:itemID="{54762026-C64E-44F9-982A-596552FB08E7}">
  <ds:schemaRefs/>
</ds:datastoreItem>
</file>

<file path=customXml/itemProps11.xml><?xml version="1.0" encoding="utf-8"?>
<ds:datastoreItem xmlns:ds="http://schemas.openxmlformats.org/officeDocument/2006/customXml" ds:itemID="{79382969-B2B0-438D-BF06-7CB28813B434}">
  <ds:schemaRefs/>
</ds:datastoreItem>
</file>

<file path=customXml/itemProps12.xml><?xml version="1.0" encoding="utf-8"?>
<ds:datastoreItem xmlns:ds="http://schemas.openxmlformats.org/officeDocument/2006/customXml" ds:itemID="{35654176-DEB3-4B47-944C-FD4E92A66616}">
  <ds:schemaRefs/>
</ds:datastoreItem>
</file>

<file path=customXml/itemProps13.xml><?xml version="1.0" encoding="utf-8"?>
<ds:datastoreItem xmlns:ds="http://schemas.openxmlformats.org/officeDocument/2006/customXml" ds:itemID="{2CC50543-EBCF-4D9F-8AAF-A606A2250905}">
  <ds:schemaRefs/>
</ds:datastoreItem>
</file>

<file path=customXml/itemProps14.xml><?xml version="1.0" encoding="utf-8"?>
<ds:datastoreItem xmlns:ds="http://schemas.openxmlformats.org/officeDocument/2006/customXml" ds:itemID="{EF10B512-77FD-4A2D-A82A-26E69825EAFF}">
  <ds:schemaRefs/>
</ds:datastoreItem>
</file>

<file path=customXml/itemProps15.xml><?xml version="1.0" encoding="utf-8"?>
<ds:datastoreItem xmlns:ds="http://schemas.openxmlformats.org/officeDocument/2006/customXml" ds:itemID="{E4618598-2A63-48E7-B401-2F8242808DB9}">
  <ds:schemaRefs/>
</ds:datastoreItem>
</file>

<file path=customXml/itemProps16.xml><?xml version="1.0" encoding="utf-8"?>
<ds:datastoreItem xmlns:ds="http://schemas.openxmlformats.org/officeDocument/2006/customXml" ds:itemID="{C11F12CD-33E2-4C21-8DD0-06C654573791}">
  <ds:schemaRefs/>
</ds:datastoreItem>
</file>

<file path=customXml/itemProps17.xml><?xml version="1.0" encoding="utf-8"?>
<ds:datastoreItem xmlns:ds="http://schemas.openxmlformats.org/officeDocument/2006/customXml" ds:itemID="{FDB58FBB-867A-4EF3-AA06-A845B5F2D4E6}">
  <ds:schemaRefs/>
</ds:datastoreItem>
</file>

<file path=customXml/itemProps18.xml><?xml version="1.0" encoding="utf-8"?>
<ds:datastoreItem xmlns:ds="http://schemas.openxmlformats.org/officeDocument/2006/customXml" ds:itemID="{EB5E0972-B309-43A0-9CFD-D17094E94A0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DAILY TREND</vt:lpstr>
      <vt:lpstr>SATISFACTION TIME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Mohamamad Salim</dc:creator>
  <cp:lastModifiedBy>Mohamamad Salim</cp:lastModifiedBy>
  <dcterms:created xsi:type="dcterms:W3CDTF">2025-04-11T01:11:01Z</dcterms:created>
  <dcterms:modified xsi:type="dcterms:W3CDTF">2025-04-14T16:08:06Z</dcterms:modified>
</cp:coreProperties>
</file>